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ity Setup" sheetId="2" state="visible" r:id="rId2"/>
    <sheet xmlns:r="http://schemas.openxmlformats.org/officeDocument/2006/relationships" name="Directors" sheetId="3" state="visible" r:id="rId3"/>
    <sheet xmlns:r="http://schemas.openxmlformats.org/officeDocument/2006/relationships" name="Trial Balance" sheetId="4" state="visible" r:id="rId4"/>
    <sheet xmlns:r="http://schemas.openxmlformats.org/officeDocument/2006/relationships" name="PPE Register" sheetId="5" state="visible" r:id="rId5"/>
    <sheet xmlns:r="http://schemas.openxmlformats.org/officeDocument/2006/relationships" name="Loans to-from Shareholders" sheetId="6" state="visible" r:id="rId6"/>
    <sheet xmlns:r="http://schemas.openxmlformats.org/officeDocument/2006/relationships" name="Tax Computation" sheetId="7" state="visible" r:id="rId7"/>
    <sheet xmlns:r="http://schemas.openxmlformats.org/officeDocument/2006/relationships" name="Policy Elections" sheetId="8" state="visible" r:id="rId8"/>
    <sheet xmlns:r="http://schemas.openxmlformats.org/officeDocument/2006/relationships" name="Validation Summary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#,##0;\(#,##0\);\-"/>
    <numFmt numFmtId="166" formatCode="0.00%;\(0.00%\)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165" fontId="9" fillId="2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165" fontId="0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165" fontId="13" fillId="2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4" fillId="0" borderId="2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166" fontId="0" fillId="2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5" fontId="14" fillId="0" borderId="3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165" fontId="9" fillId="2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165" fontId="0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165" fontId="13" fillId="2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4" fillId="0" borderId="2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166" fontId="0" fillId="2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5" fontId="14" fillId="0" borderId="3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C19" authorId="0" shapeId="0">
      <text>
        <t>Dropdown: Compilation Report / Independent Review Report / Audit Report. Determines which practitioner report template the app prints (small companies are commonly exempt from audit under s30 of the Companies Act, and use a compilation engagement under ISRS 4410 (Revised)).</t>
      </text>
    </comment>
    <comment ref="C25" authorId="0" shapeId="0">
      <text>
        <t>Dropdown: 'Second Edition (2015)' (mandatory until periods beginning on/after 1 Jan 2027) or 'Third Edition (2025) - early adopted' (mandatory for periods beginning on/after 1 Jan 2027, earlier application permitted if disclosed). Source: IASB, 'IASB issues third edition of the IFRS for SMEs Accounting Standard', Feb-2025.</t>
      </text>
    </comment>
    <comment ref="C26" authorId="0" shapeId="0">
      <text>
        <t>Dropdown: Yes / No. Controls whether the Tax Computation sheet applies the SBC bracket table or the standard flat company tax rate.</t>
      </text>
    </comment>
    <comment ref="C31" authorId="0" shapeId="0">
      <text>
        <t>Only needed to build the prior-year cash flow statement's opening cash line.</t>
      </text>
    </comment>
    <comment ref="C34" authorId="0" shapeId="0">
      <text>
        <t>The PPE Register only tracks a current-year depreciation charge per asset class. This single total is used solely to recompute the PRIOR year's profit for the Statement of Changes in Equity roll-forward and the Validation Summary checks - it does not feed the PPE note itself.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20" authorId="0" shapeId="0">
      <text>
        <t>SARS revises the Small Business Corporation brackets annually. This table shows the brackets applicable to financial years ending 1 April 2025 - 31 March 2026 (matching the worked example's Feb-2026 year end). Source: SARS, 'Companies, Trusts and Small Business Corporations (SBC)', sars.gov.za/tax-rates/income-tax/companies-trusts-and-small-business-corporations-sbc/. Update the Lower/Upper/Rate cells below every year.</t>
      </text>
    </comment>
    <comment ref="B27" authorId="0" shapeId="0">
      <text>
        <t>Source: SARS, 'Companies, Trusts and Small Business Corporations (SBC)', sars.gov.za/tax-rates/income-tax/companies-trusts-and-small-business-corporations-sbc/ (retrieved September 2026). 1-99,000: 0%; 99,001-365,000: 7% above 99,000; 365,001-550,000: R18,620 + 21% above 365,000; 550,001+: R57,470 + 27% above 550,000. Standard company tax rate for the same period: 27%. Use this table once you compile a financial year that falls in this SARS year of assessment.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100" customWidth="1" style="31" min="2" max="2"/>
  </cols>
  <sheetData>
    <row r="1" ht="21.75" customHeight="1" s="32">
      <c r="A1" s="33" t="inlineStr">
        <is>
          <t>AFS Compiler — Input Template</t>
        </is>
      </c>
    </row>
    <row r="2" ht="15" customHeight="1" s="32">
      <c r="A2" s="34" t="inlineStr">
        <is>
          <t>Companion workbook for the IFRS for SME's Annual Financial Statements Compiler application</t>
        </is>
      </c>
    </row>
    <row r="3" ht="15" customHeight="1" s="32">
      <c r="B3" s="35" t="n"/>
    </row>
    <row r="4" ht="15" customHeight="1" s="32">
      <c r="B4" s="36" t="inlineStr">
        <is>
          <t>HOW TO USE THIS WORKBOOK</t>
        </is>
      </c>
    </row>
    <row r="5" ht="30" customHeight="1" s="32">
      <c r="B5" s="35" t="inlineStr">
        <is>
          <t>1. Make one COPY of this workbook per entity, per financial year (e.g. 'PauloJorgePhotography_FY2026.xlsx'). The app reads one workbook = one entity's one financial year, plus its comparative (prior year) column.</t>
        </is>
      </c>
    </row>
    <row r="6" ht="30" customHeight="1" s="32">
      <c r="B6" s="35" t="inlineStr">
        <is>
          <t>2. Fill in every sheet with the YELLOW cells. Blue text = a cell you type into. Black text = a formula — do not overtype it.</t>
        </is>
      </c>
    </row>
    <row r="7" ht="30" customHeight="1" s="32">
      <c r="B7" s="35" t="inlineStr">
        <is>
          <t>3. Start with 'Entity Setup' and 'Directors', then 'Trial Balance', 'PPE Register' and 'Loans to-from Shareholders', then 'Tax Computation', then 'Policy Elections'. Finish by checking 'Validation Summary' — every check should read TRUE / 0.</t>
        </is>
      </c>
    </row>
    <row r="8" ht="30" customHeight="1" s="32">
      <c r="B8" s="35" t="inlineStr">
        <is>
          <t>4. Import this workbook into the app (Entities → Import Workbook), or point the app at the file path if running locally.</t>
        </is>
      </c>
    </row>
    <row r="9" ht="30" customHeight="1" s="32">
      <c r="B9" s="35" t="inlineStr">
        <is>
          <t>5. Roll forward to next year: in the app, choose 'Create Next Year' for an entity — it exports a new workbook with this year's closing balances pre-filled as next year's opening balances / prior-year comparatives.</t>
        </is>
      </c>
    </row>
    <row r="10" ht="15" customHeight="1" s="32">
      <c r="B10" s="35" t="n"/>
    </row>
    <row r="11" ht="15" customHeight="1" s="32">
      <c r="B11" s="36" t="inlineStr">
        <is>
          <t>WORKED EXAMPLE INCLUDED</t>
        </is>
      </c>
    </row>
    <row r="12" ht="30" customHeight="1" s="32">
      <c r="B12" s="35" t="inlineStr">
        <is>
          <t>Every sheet is pre-populated with a worked example based on Paulo Jorge Photography (Pty) Ltd's FY2026 Annual Financial Statements (year ended 28 February 2026) — the sample AFS the app is being built to reproduce. A handful of immaterial (R1-R2) rounding differences in the original filing have been smoothed out so every total reconciles exactly, which makes this a clean acceptance test: load this workbook into the finished app and the generated AFS should match the structure, wording and (bar those smoothed roundings) the figures of the attached sample.</t>
        </is>
      </c>
    </row>
    <row r="13" ht="30" customHeight="1" s="32">
      <c r="B13" s="35" t="inlineStr">
        <is>
          <t>Delete the example rows / overtype them before compiling a real entity's AFS — do not leave illustrative data in a workbook you intend to compile from.</t>
        </is>
      </c>
    </row>
    <row r="14" ht="15" customHeight="1" s="32">
      <c r="B14" s="35" t="n"/>
    </row>
    <row r="15" ht="15" customHeight="1" s="32">
      <c r="B15" s="36" t="inlineStr">
        <is>
          <t>SHEET GUIDE</t>
        </is>
      </c>
    </row>
    <row r="16" ht="30" customHeight="1" s="32">
      <c r="B16" s="35" t="inlineStr">
        <is>
          <t>• Entity Setup — company registration details, addresses, practitioner, reporting basis, dates.</t>
        </is>
      </c>
    </row>
    <row r="17" ht="15" customHeight="1" s="32">
      <c r="B17" s="35" t="inlineStr">
        <is>
          <t>• Directors — one row per director; used for the Director's Report and signature block.</t>
        </is>
      </c>
    </row>
    <row r="18" ht="30" customHeight="1" s="32">
      <c r="B18" s="35" t="inlineStr">
        <is>
          <t>• Trial Balance — revenue, cost of sales, operating expenses, investment revenue, finance costs, cash, share capital, trade receivables/payables. Depreciation is NOT entered here — it comes from the PPE Register.</t>
        </is>
      </c>
    </row>
    <row r="19" ht="30" customHeight="1" s="32">
      <c r="B19" s="35" t="inlineStr">
        <is>
          <t>• PPE Register — one row per asset class; drives the Property, Plant and Equipment note and the depreciation charge that flows into the income statement and cash flow statement.</t>
        </is>
      </c>
    </row>
    <row r="20" ht="30" customHeight="1" s="32">
      <c r="B20" s="35" t="inlineStr">
        <is>
          <t>• Loans to-from Shareholders — one row per director/shareholder loan account; drives the loan note and the related cash flow movement.</t>
        </is>
      </c>
    </row>
    <row r="21" ht="30" customHeight="1" s="32">
      <c r="B21" s="35" t="inlineStr">
        <is>
          <t>• Tax Computation — temporary/permanent differences, assessed losses, and an editable tax bracket table (SBC or standard company rate) so the app can compute the current tax charge / tax computation schedule.</t>
        </is>
      </c>
    </row>
    <row r="22" ht="30" customHeight="1" s="32">
      <c r="B22" s="35" t="inlineStr">
        <is>
          <t>• Policy Elections — tick which IFRS for SME's accounting policy sections are applicable, so the app only prints the policies (and matching notes) that are relevant to this entity.</t>
        </is>
      </c>
    </row>
    <row r="23" ht="30" customHeight="1" s="32">
      <c r="B23" s="35" t="inlineStr">
        <is>
          <t>• Validation Summary — read-only cross-checks (formulas only). Everything must tie out before you import.</t>
        </is>
      </c>
    </row>
    <row r="24" ht="15" customHeight="1" s="32">
      <c r="B24" s="35" t="n"/>
    </row>
    <row r="25" ht="15" customHeight="1" s="32">
      <c r="B25" s="36" t="inlineStr">
        <is>
          <t>A NOTE ON TAX RATES</t>
        </is>
      </c>
    </row>
    <row r="26" ht="30" customHeight="1" s="32">
      <c r="B26" s="35" t="inlineStr">
        <is>
          <t>The Small Business Corporation (SBC) tax bracket table on the 'Tax Computation' sheet must be updated for each year of assessment — SARS revises the brackets annually. The worked example uses the brackets applicable to financial years ending 1 April 2025 – 31 March 2026 (matching the sample entity's Feb-2026 year end). A second, more recent bracket table (financial years ending 1 April 2026 – 31 March 2027) is shown alongside it for reference — see the comment on that table for the source.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42" customWidth="1" style="31" min="2" max="2"/>
    <col width="45" customWidth="1" style="31" min="3" max="4"/>
  </cols>
  <sheetData>
    <row r="1" ht="21.75" customHeight="1" s="32">
      <c r="A1" s="33" t="inlineStr">
        <is>
          <t>Entity Setup</t>
        </is>
      </c>
    </row>
    <row r="2" ht="15" customHeight="1" s="32">
      <c r="A2" s="34" t="inlineStr">
        <is>
          <t>One workbook = one entity, one financial year. Yellow = fill in.</t>
        </is>
      </c>
    </row>
    <row r="4" ht="15" customHeight="1" s="32">
      <c r="B4" s="37" t="inlineStr">
        <is>
          <t>COMPANY DETAILS</t>
        </is>
      </c>
    </row>
    <row r="5" ht="15" customHeight="1" s="32">
      <c r="B5" s="38" t="inlineStr">
        <is>
          <t>Company Name</t>
        </is>
      </c>
      <c r="C5" s="39" t="inlineStr">
        <is>
          <t>Example Photography Studio (Pty) Ltd</t>
        </is>
      </c>
    </row>
    <row r="6" ht="15" customHeight="1" s="32">
      <c r="B6" s="38" t="inlineStr">
        <is>
          <t>Registration Number</t>
        </is>
      </c>
      <c r="C6" s="39" t="inlineStr">
        <is>
          <t>2020/000000/07</t>
        </is>
      </c>
    </row>
    <row r="7" ht="15" customHeight="1" s="32">
      <c r="B7" s="38" t="inlineStr">
        <is>
          <t>Tax Reference Number</t>
        </is>
      </c>
      <c r="C7" s="39" t="inlineStr">
        <is>
          <t>0000000000</t>
        </is>
      </c>
    </row>
    <row r="8" ht="15" customHeight="1" s="32">
      <c r="B8" s="38" t="inlineStr">
        <is>
          <t>VAT Number (if registered)</t>
        </is>
      </c>
      <c r="C8" s="39" t="n"/>
    </row>
    <row r="9" ht="15" customHeight="1" s="32">
      <c r="B9" s="38" t="inlineStr">
        <is>
          <t>Country of Incorporation and Domicile</t>
        </is>
      </c>
      <c r="C9" s="39" t="inlineStr">
        <is>
          <t>South Africa</t>
        </is>
      </c>
    </row>
    <row r="10" ht="15" customHeight="1" s="32">
      <c r="B10" s="38" t="inlineStr">
        <is>
          <t>Nature of Business and Principal Activities</t>
        </is>
      </c>
      <c r="C10" s="39" t="inlineStr">
        <is>
          <t>Photography</t>
        </is>
      </c>
    </row>
    <row r="11" ht="15" customHeight="1" s="32">
      <c r="B11" s="38" t="inlineStr">
        <is>
          <t>Registered Office Address</t>
        </is>
      </c>
      <c r="C11" s="39" t="inlineStr">
        <is>
          <t>1 Example Street, Sample City, 0000</t>
        </is>
      </c>
    </row>
    <row r="12" ht="15" customHeight="1" s="32">
      <c r="B12" s="38" t="inlineStr">
        <is>
          <t>Business Address</t>
        </is>
      </c>
      <c r="C12" s="39" t="inlineStr">
        <is>
          <t>1 Example Street, Sample City, 0000</t>
        </is>
      </c>
    </row>
    <row r="13" ht="15" customHeight="1" s="32">
      <c r="B13" s="38" t="inlineStr">
        <is>
          <t>Postal Address</t>
        </is>
      </c>
      <c r="C13" s="39" t="inlineStr">
        <is>
          <t>1 Example Street, Sample City, 0000</t>
        </is>
      </c>
    </row>
    <row r="14" ht="15" customHeight="1" s="32">
      <c r="B14" s="38" t="inlineStr">
        <is>
          <t>Bankers</t>
        </is>
      </c>
      <c r="C14" s="39" t="inlineStr">
        <is>
          <t>Example Bank</t>
        </is>
      </c>
    </row>
    <row r="16" ht="15" customHeight="1" s="32">
      <c r="B16" s="37" t="inlineStr">
        <is>
          <t>PRACTITIONER / COMPILER</t>
        </is>
      </c>
    </row>
    <row r="17" ht="15" customHeight="1" s="32">
      <c r="B17" s="38" t="inlineStr">
        <is>
          <t>Practitioner Name</t>
        </is>
      </c>
      <c r="C17" s="39" t="inlineStr">
        <is>
          <t>A. Practitioner</t>
        </is>
      </c>
    </row>
    <row r="18" ht="15" customHeight="1" s="32">
      <c r="B18" s="38" t="inlineStr">
        <is>
          <t>Practitioner Firm</t>
        </is>
      </c>
      <c r="C18" s="39" t="inlineStr">
        <is>
          <t>Example Accounting Services CC</t>
        </is>
      </c>
    </row>
    <row r="19" ht="15" customHeight="1" s="32">
      <c r="B19" s="38" t="inlineStr">
        <is>
          <t>Report Type</t>
        </is>
      </c>
      <c r="C19" s="39" t="inlineStr">
        <is>
          <t>Compilation Report</t>
        </is>
      </c>
    </row>
    <row r="21" ht="15" customHeight="1" s="32">
      <c r="B21" s="37" t="inlineStr">
        <is>
          <t>REPORTING BASIS</t>
        </is>
      </c>
    </row>
    <row r="22" ht="15" customHeight="1" s="32">
      <c r="B22" s="38" t="inlineStr">
        <is>
          <t>Financial Year End (current year)</t>
        </is>
      </c>
      <c r="C22" s="40" t="n">
        <v>46081</v>
      </c>
    </row>
    <row r="23" ht="15" customHeight="1" s="32">
      <c r="B23" s="38" t="inlineStr">
        <is>
          <t>Financial Year End (prior/comparative year)</t>
        </is>
      </c>
      <c r="C23" s="40" t="n">
        <v>45716</v>
      </c>
    </row>
    <row r="24" ht="15" customHeight="1" s="32">
      <c r="B24" s="38" t="inlineStr">
        <is>
          <t>Date Annual Financial Statements Approved</t>
        </is>
      </c>
      <c r="C24" s="40" t="n">
        <v>46295</v>
      </c>
    </row>
    <row r="25" ht="15" customHeight="1" s="32">
      <c r="B25" s="38" t="inlineStr">
        <is>
          <t>IFRS for SME's Edition Applied</t>
        </is>
      </c>
      <c r="C25" s="39" t="inlineStr">
        <is>
          <t>Second Edition (2015)</t>
        </is>
      </c>
    </row>
    <row r="26" ht="15" customHeight="1" s="32">
      <c r="B26" s="38" t="inlineStr">
        <is>
          <t>Company Qualifies as a Small Business Corporation (SBC) for tax</t>
        </is>
      </c>
      <c r="C26" s="39" t="inlineStr">
        <is>
          <t>Yes</t>
        </is>
      </c>
    </row>
    <row r="28" ht="52.2" customHeight="1" s="32">
      <c r="B28" s="41" t="inlineStr">
        <is>
          <t>OPENING BALANCES (start of the COMPARATIVE/prior year - needed for the 3-row Statement of Changes in Equity)</t>
        </is>
      </c>
    </row>
    <row r="29" ht="15" customHeight="1" s="32">
      <c r="B29" s="38" t="inlineStr">
        <is>
          <t>Retained Income - Opening Balance (start of prior year)</t>
        </is>
      </c>
      <c r="C29" s="42" t="n">
        <v>138178</v>
      </c>
    </row>
    <row r="30" ht="15" customHeight="1" s="32">
      <c r="B30" s="38" t="inlineStr">
        <is>
          <t>Share Capital - Opening Balance (start of prior year)</t>
        </is>
      </c>
      <c r="C30" s="42" t="n">
        <v>1000</v>
      </c>
    </row>
    <row r="31" ht="15" customHeight="1" s="32">
      <c r="B31" s="38" t="inlineStr">
        <is>
          <t>Cash and Cash Equivalents - Opening Balance (start of prior year)</t>
        </is>
      </c>
      <c r="C31" s="42" t="n">
        <v>489</v>
      </c>
    </row>
    <row r="33" ht="15" customHeight="1" s="32">
      <c r="B33" s="37" t="inlineStr">
        <is>
          <t>PRIOR YEAR SUPPLEMENTARY FIGURE (validation only)</t>
        </is>
      </c>
    </row>
    <row r="34" ht="15" customHeight="1" s="32">
      <c r="B34" s="38" t="inlineStr">
        <is>
          <t>Prior Year Depreciation Charge (total, all asset classes)</t>
        </is>
      </c>
      <c r="C34" s="42" t="n">
        <v>2079</v>
      </c>
    </row>
  </sheetData>
  <dataValidations count="3">
    <dataValidation sqref="C19" showDropDown="0" showInputMessage="0" showErrorMessage="0" allowBlank="1" type="list" errorStyle="stop" operator="between">
      <formula1>"Compilation Report,Independent Review Report,Audit Report"</formula1>
      <formula2>0</formula2>
    </dataValidation>
    <dataValidation sqref="C25" showDropDown="0" showInputMessage="0" showErrorMessage="0" allowBlank="1" type="list" errorStyle="stop" operator="between">
      <formula1>"Second Edition (2015),Third Edition (2025) - early adopted"</formula1>
      <formula2>0</formula2>
    </dataValidation>
    <dataValidation sqref="C26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30" customWidth="1" style="31" min="2" max="2"/>
    <col width="18" customWidth="1" style="31" min="3" max="3"/>
    <col width="16" customWidth="1" style="31" min="4" max="5"/>
    <col width="14" customWidth="1" style="31" min="6" max="6"/>
    <col width="40" customWidth="1" style="31" min="7" max="7"/>
  </cols>
  <sheetData>
    <row r="1" ht="21.75" customHeight="1" s="32">
      <c r="A1" s="33" t="inlineStr">
        <is>
          <t>Directors</t>
        </is>
      </c>
    </row>
    <row r="2" ht="15" customHeight="1" s="32">
      <c r="A2" s="34" t="inlineStr">
        <is>
          <t>One row per director. Used for the Director's Report and the approval/signature block.</t>
        </is>
      </c>
    </row>
    <row r="4" ht="27.75" customHeight="1" s="32">
      <c r="B4" s="43" t="inlineStr">
        <is>
          <t>Full Name</t>
        </is>
      </c>
      <c r="C4" s="43" t="inlineStr">
        <is>
          <t>Nationality</t>
        </is>
      </c>
      <c r="D4" s="43" t="inlineStr">
        <is>
          <t>Date Appointed</t>
        </is>
      </c>
      <c r="E4" s="43" t="inlineStr">
        <is>
          <t>Date Resigned (if any)</t>
        </is>
      </c>
      <c r="F4" s="43" t="inlineStr">
        <is>
          <t>Signs Approval? (Y/N)</t>
        </is>
      </c>
      <c r="G4" s="43" t="inlineStr">
        <is>
          <t>Notes</t>
        </is>
      </c>
    </row>
    <row r="5" ht="15" customHeight="1" s="32">
      <c r="B5" s="39" t="inlineStr">
        <is>
          <t>J. Sample</t>
        </is>
      </c>
      <c r="C5" s="39" t="inlineStr">
        <is>
          <t>South African</t>
        </is>
      </c>
      <c r="D5" s="40" t="n">
        <v>41431</v>
      </c>
      <c r="E5" s="40" t="n"/>
      <c r="F5" s="39" t="inlineStr">
        <is>
          <t>Y</t>
        </is>
      </c>
      <c r="G5" s="39" t="n"/>
    </row>
    <row r="6" ht="15" customHeight="1" s="32">
      <c r="B6" s="44" t="n"/>
      <c r="C6" s="44" t="n"/>
      <c r="D6" s="44" t="n"/>
      <c r="E6" s="44" t="n"/>
      <c r="F6" s="44" t="n"/>
      <c r="G6" s="44" t="n"/>
    </row>
    <row r="7" ht="15" customHeight="1" s="32">
      <c r="B7" s="44" t="n"/>
      <c r="C7" s="44" t="n"/>
      <c r="D7" s="44" t="n"/>
      <c r="E7" s="44" t="n"/>
      <c r="F7" s="44" t="n"/>
      <c r="G7" s="44" t="n"/>
    </row>
    <row r="8" ht="15" customHeight="1" s="32">
      <c r="B8" s="44" t="n"/>
      <c r="C8" s="44" t="n"/>
      <c r="D8" s="44" t="n"/>
      <c r="E8" s="44" t="n"/>
      <c r="F8" s="44" t="n"/>
      <c r="G8" s="44" t="n"/>
    </row>
    <row r="9" ht="15" customHeight="1" s="32">
      <c r="B9" s="44" t="n"/>
      <c r="C9" s="44" t="n"/>
      <c r="D9" s="44" t="n"/>
      <c r="E9" s="44" t="n"/>
      <c r="F9" s="44" t="n"/>
      <c r="G9" s="44" t="n"/>
    </row>
    <row r="10" ht="15" customHeight="1" s="32">
      <c r="B10" s="44" t="n"/>
      <c r="C10" s="44" t="n"/>
      <c r="D10" s="44" t="n"/>
      <c r="E10" s="44" t="n"/>
      <c r="F10" s="44" t="n"/>
      <c r="G10" s="44" t="n"/>
    </row>
  </sheetData>
  <dataValidations count="1">
    <dataValidation sqref="F5:F10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34" customWidth="1" style="31" min="2" max="2"/>
    <col width="24" customWidth="1" style="31" min="3" max="3"/>
    <col width="16" customWidth="1" style="31" min="4" max="5"/>
    <col width="30" customWidth="1" style="31" min="6" max="6"/>
  </cols>
  <sheetData>
    <row r="1" ht="21.75" customHeight="1" s="32">
      <c r="A1" s="33" t="inlineStr">
        <is>
          <t>Trial Balance</t>
        </is>
      </c>
    </row>
    <row r="2" ht="15" customHeight="1" s="32">
      <c r="A2" s="34" t="inlineStr">
        <is>
          <t>Revenue, cost of sales, operating expenses, investment revenue/finance costs, cash, share capital, receivables/payables. Depreciation is NOT entered here (see PPE Register).</t>
        </is>
      </c>
    </row>
    <row r="4" ht="27.75" customHeight="1" s="32">
      <c r="B4" s="43" t="inlineStr">
        <is>
          <t>Account Name</t>
        </is>
      </c>
      <c r="C4" s="43" t="inlineStr">
        <is>
          <t>AFS Category</t>
        </is>
      </c>
      <c r="D4" s="43" t="inlineStr">
        <is>
          <t>Current Year Amount</t>
        </is>
      </c>
      <c r="E4" s="43" t="inlineStr">
        <is>
          <t>Prior Year Amount</t>
        </is>
      </c>
      <c r="F4" s="43" t="inlineStr">
        <is>
          <t>Notes</t>
        </is>
      </c>
    </row>
    <row r="5" ht="15" customHeight="1" s="32">
      <c r="B5" s="39" t="inlineStr">
        <is>
          <t>Rendering of services</t>
        </is>
      </c>
      <c r="C5" s="39" t="inlineStr">
        <is>
          <t>Revenue</t>
        </is>
      </c>
      <c r="D5" s="42" t="n">
        <v>96423</v>
      </c>
      <c r="E5" s="42" t="n">
        <v>41899</v>
      </c>
      <c r="F5" s="45" t="n"/>
    </row>
    <row r="6" ht="15" customHeight="1" s="32">
      <c r="B6" s="39" t="inlineStr">
        <is>
          <t>Purchases</t>
        </is>
      </c>
      <c r="C6" s="39" t="inlineStr">
        <is>
          <t>Cost of Sales</t>
        </is>
      </c>
      <c r="D6" s="42" t="n">
        <v>8122</v>
      </c>
      <c r="E6" s="42" t="n">
        <v>12892</v>
      </c>
      <c r="F6" s="45" t="n"/>
    </row>
    <row r="7" ht="15" customHeight="1" s="32">
      <c r="B7" s="39" t="inlineStr">
        <is>
          <t>Accounting fees</t>
        </is>
      </c>
      <c r="C7" s="39" t="inlineStr">
        <is>
          <t>Operating Expense</t>
        </is>
      </c>
      <c r="D7" s="42" t="n">
        <v>13628</v>
      </c>
      <c r="E7" s="42" t="n">
        <v>5750</v>
      </c>
      <c r="F7" s="45" t="n"/>
    </row>
    <row r="8" ht="15" customHeight="1" s="32">
      <c r="B8" s="39" t="inlineStr">
        <is>
          <t>Advertising</t>
        </is>
      </c>
      <c r="C8" s="39" t="inlineStr">
        <is>
          <t>Operating Expense</t>
        </is>
      </c>
      <c r="D8" s="42" t="n">
        <v>5251</v>
      </c>
      <c r="E8" s="42" t="n">
        <v>0</v>
      </c>
      <c r="F8" s="45" t="n"/>
    </row>
    <row r="9" ht="15" customHeight="1" s="32">
      <c r="B9" s="39" t="inlineStr">
        <is>
          <t>Bank charges</t>
        </is>
      </c>
      <c r="C9" s="39" t="inlineStr">
        <is>
          <t>Operating Expense</t>
        </is>
      </c>
      <c r="D9" s="42" t="n">
        <v>5803</v>
      </c>
      <c r="E9" s="42" t="n">
        <v>3941</v>
      </c>
      <c r="F9" s="45" t="n"/>
    </row>
    <row r="10" ht="15" customHeight="1" s="32">
      <c r="B10" s="39" t="inlineStr">
        <is>
          <t>Consumables</t>
        </is>
      </c>
      <c r="C10" s="39" t="inlineStr">
        <is>
          <t>Operating Expense</t>
        </is>
      </c>
      <c r="D10" s="42" t="n">
        <v>1495</v>
      </c>
      <c r="E10" s="42" t="n">
        <v>0</v>
      </c>
      <c r="F10" s="45" t="n"/>
    </row>
    <row r="11" ht="15" customHeight="1" s="32">
      <c r="B11" s="39" t="inlineStr">
        <is>
          <t>Employee costs</t>
        </is>
      </c>
      <c r="C11" s="39" t="inlineStr">
        <is>
          <t>Operating Expense</t>
        </is>
      </c>
      <c r="D11" s="42" t="n">
        <v>10300</v>
      </c>
      <c r="E11" s="42" t="n">
        <v>0</v>
      </c>
      <c r="F11" s="45" t="n"/>
    </row>
    <row r="12" ht="15" customHeight="1" s="32">
      <c r="B12" s="39" t="inlineStr">
        <is>
          <t>Entertainment</t>
        </is>
      </c>
      <c r="C12" s="39" t="inlineStr">
        <is>
          <t>Operating Expense</t>
        </is>
      </c>
      <c r="D12" s="42" t="n">
        <v>2815</v>
      </c>
      <c r="E12" s="42" t="n">
        <v>144</v>
      </c>
      <c r="F12" s="45" t="n"/>
    </row>
    <row r="13" ht="15" customHeight="1" s="32">
      <c r="B13" s="39" t="inlineStr">
        <is>
          <t>IT expenses</t>
        </is>
      </c>
      <c r="C13" s="39" t="inlineStr">
        <is>
          <t>Operating Expense</t>
        </is>
      </c>
      <c r="D13" s="42" t="n">
        <v>5266</v>
      </c>
      <c r="E13" s="42" t="n">
        <v>4482</v>
      </c>
      <c r="F13" s="45" t="n"/>
    </row>
    <row r="14" ht="15" customHeight="1" s="32">
      <c r="B14" s="39" t="inlineStr">
        <is>
          <t>Levies</t>
        </is>
      </c>
      <c r="C14" s="39" t="inlineStr">
        <is>
          <t>Operating Expense</t>
        </is>
      </c>
      <c r="D14" s="42" t="n">
        <v>2600</v>
      </c>
      <c r="E14" s="42" t="n">
        <v>2050</v>
      </c>
      <c r="F14" s="45" t="n"/>
    </row>
    <row r="15" ht="15" customHeight="1" s="32">
      <c r="B15" s="39" t="inlineStr">
        <is>
          <t>Motor vehicle expenses</t>
        </is>
      </c>
      <c r="C15" s="39" t="inlineStr">
        <is>
          <t>Operating Expense</t>
        </is>
      </c>
      <c r="D15" s="42" t="n">
        <v>9169</v>
      </c>
      <c r="E15" s="42" t="n">
        <v>3812</v>
      </c>
      <c r="F15" s="45" t="n"/>
    </row>
    <row r="16" ht="15" customHeight="1" s="32">
      <c r="B16" s="39" t="inlineStr">
        <is>
          <t>Petrol and oil</t>
        </is>
      </c>
      <c r="C16" s="39" t="inlineStr">
        <is>
          <t>Operating Expense</t>
        </is>
      </c>
      <c r="D16" s="42" t="n">
        <v>11192</v>
      </c>
      <c r="E16" s="42" t="n">
        <v>6712</v>
      </c>
      <c r="F16" s="45" t="n"/>
    </row>
    <row r="17" ht="15" customHeight="1" s="32">
      <c r="B17" s="39" t="inlineStr">
        <is>
          <t>Repairs and maintenance</t>
        </is>
      </c>
      <c r="C17" s="39" t="inlineStr">
        <is>
          <t>Operating Expense</t>
        </is>
      </c>
      <c r="D17" s="42" t="n">
        <v>8699</v>
      </c>
      <c r="E17" s="42" t="n">
        <v>0</v>
      </c>
      <c r="F17" s="45" t="n"/>
    </row>
    <row r="18" ht="15" customHeight="1" s="32">
      <c r="B18" s="39" t="inlineStr">
        <is>
          <t>Subscriptions</t>
        </is>
      </c>
      <c r="C18" s="39" t="inlineStr">
        <is>
          <t>Operating Expense</t>
        </is>
      </c>
      <c r="D18" s="42" t="n">
        <v>0</v>
      </c>
      <c r="E18" s="42" t="n">
        <v>833</v>
      </c>
      <c r="F18" s="45" t="n"/>
    </row>
    <row r="19" ht="15" customHeight="1" s="32">
      <c r="B19" s="39" t="inlineStr">
        <is>
          <t>Telephone and fax</t>
        </is>
      </c>
      <c r="C19" s="39" t="inlineStr">
        <is>
          <t>Operating Expense</t>
        </is>
      </c>
      <c r="D19" s="42" t="n">
        <v>69</v>
      </c>
      <c r="E19" s="42" t="n">
        <v>312</v>
      </c>
      <c r="F19" s="45" t="n"/>
    </row>
    <row r="20" ht="15" customHeight="1" s="32">
      <c r="B20" s="39" t="inlineStr">
        <is>
          <t>Utilities</t>
        </is>
      </c>
      <c r="C20" s="39" t="inlineStr">
        <is>
          <t>Operating Expense</t>
        </is>
      </c>
      <c r="D20" s="42" t="n">
        <v>0</v>
      </c>
      <c r="E20" s="42" t="n">
        <v>2500</v>
      </c>
      <c r="F20" s="45" t="n"/>
    </row>
    <row r="21" ht="15" customHeight="1" s="32">
      <c r="B21" s="39" t="inlineStr">
        <is>
          <t>Interest received - loans to directors/managers/employees</t>
        </is>
      </c>
      <c r="C21" s="39" t="inlineStr">
        <is>
          <t>Investment Revenue</t>
        </is>
      </c>
      <c r="D21" s="42" t="n">
        <v>11841</v>
      </c>
      <c r="E21" s="42" t="n">
        <v>11789</v>
      </c>
      <c r="F21" s="45" t="n"/>
    </row>
    <row r="22" ht="15" customHeight="1" s="32">
      <c r="B22" s="39" t="inlineStr">
        <is>
          <t>Finance costs</t>
        </is>
      </c>
      <c r="C22" s="39" t="inlineStr">
        <is>
          <t>Finance Costs</t>
        </is>
      </c>
      <c r="D22" s="42" t="n">
        <v>0</v>
      </c>
      <c r="E22" s="42" t="n">
        <v>1</v>
      </c>
      <c r="F22" s="45" t="n"/>
    </row>
    <row r="23" ht="15" customHeight="1" s="32">
      <c r="B23" s="39" t="inlineStr">
        <is>
          <t>Cash and cash equivalents</t>
        </is>
      </c>
      <c r="C23" s="39" t="inlineStr">
        <is>
          <t>Cash and Cash Equivalents</t>
        </is>
      </c>
      <c r="D23" s="42" t="n">
        <v>6178</v>
      </c>
      <c r="E23" s="42" t="n">
        <v>430</v>
      </c>
      <c r="F23" s="45" t="n"/>
    </row>
    <row r="24" ht="15" customHeight="1" s="32">
      <c r="B24" s="39" t="inlineStr">
        <is>
          <t>Share capital</t>
        </is>
      </c>
      <c r="C24" s="39" t="inlineStr">
        <is>
          <t>Share Capital</t>
        </is>
      </c>
      <c r="D24" s="42" t="n">
        <v>1000</v>
      </c>
      <c r="E24" s="42" t="n">
        <v>1000</v>
      </c>
      <c r="F24" s="45" t="inlineStr">
        <is>
          <t>Ordinary shares, unchanged during both years</t>
        </is>
      </c>
    </row>
    <row r="25" ht="15" customHeight="1" s="32">
      <c r="B25" s="44" t="n"/>
      <c r="C25" s="44" t="n"/>
      <c r="D25" s="46" t="n"/>
      <c r="E25" s="46" t="n"/>
      <c r="F25" s="44" t="n"/>
    </row>
    <row r="26" ht="15" customHeight="1" s="32">
      <c r="B26" s="44" t="n"/>
      <c r="C26" s="44" t="n"/>
      <c r="D26" s="46" t="n"/>
      <c r="E26" s="46" t="n"/>
      <c r="F26" s="44" t="n"/>
    </row>
    <row r="27" ht="15" customHeight="1" s="32">
      <c r="B27" s="44" t="n"/>
      <c r="C27" s="44" t="n"/>
      <c r="D27" s="46" t="n"/>
      <c r="E27" s="46" t="n"/>
      <c r="F27" s="44" t="n"/>
    </row>
    <row r="28" ht="15" customHeight="1" s="32">
      <c r="B28" s="44" t="n"/>
      <c r="C28" s="44" t="n"/>
      <c r="D28" s="46" t="n"/>
      <c r="E28" s="46" t="n"/>
      <c r="F28" s="44" t="n"/>
    </row>
    <row r="29" ht="15" customHeight="1" s="32">
      <c r="B29" s="44" t="n"/>
      <c r="C29" s="44" t="n"/>
      <c r="D29" s="46" t="n"/>
      <c r="E29" s="46" t="n"/>
      <c r="F29" s="44" t="n"/>
    </row>
    <row r="30" ht="15" customHeight="1" s="32">
      <c r="B30" s="44" t="n"/>
      <c r="C30" s="44" t="n"/>
      <c r="D30" s="46" t="n"/>
      <c r="E30" s="46" t="n"/>
      <c r="F30" s="44" t="n"/>
    </row>
    <row r="31" ht="15" customHeight="1" s="32">
      <c r="B31" s="44" t="n"/>
      <c r="C31" s="44" t="n"/>
      <c r="D31" s="46" t="n"/>
      <c r="E31" s="46" t="n"/>
      <c r="F31" s="44" t="n"/>
    </row>
    <row r="32" ht="15" customHeight="1" s="32">
      <c r="B32" s="44" t="n"/>
      <c r="C32" s="44" t="n"/>
      <c r="D32" s="46" t="n"/>
      <c r="E32" s="46" t="n"/>
      <c r="F32" s="44" t="n"/>
    </row>
    <row r="34" ht="15" customHeight="1" s="32">
      <c r="B34" s="37" t="inlineStr">
        <is>
          <t>CATEGORY SUBTOTALS (formulas - do not edit)</t>
        </is>
      </c>
    </row>
    <row r="35" ht="15" customHeight="1" s="32">
      <c r="B35" s="43" t="inlineStr">
        <is>
          <t>AFS Category</t>
        </is>
      </c>
      <c r="C35" s="43" t="inlineStr">
        <is>
          <t>Current Year</t>
        </is>
      </c>
      <c r="D35" s="43" t="inlineStr">
        <is>
          <t>Prior Year</t>
        </is>
      </c>
    </row>
    <row r="36" ht="15" customHeight="1" s="32">
      <c r="B36" s="47" t="inlineStr">
        <is>
          <t>Revenue</t>
        </is>
      </c>
      <c r="C36" s="48">
        <f>SUMIF($C$5:$C$32,$B36,$D$5:$D$32)</f>
        <v/>
      </c>
      <c r="D36" s="48">
        <f>SUMIF($C$5:$C$32,$B36,$E$5:$E$32)</f>
        <v/>
      </c>
    </row>
    <row r="37" ht="15" customHeight="1" s="32">
      <c r="B37" s="47" t="inlineStr">
        <is>
          <t>Cost of Sales</t>
        </is>
      </c>
      <c r="C37" s="48">
        <f>SUMIF($C$5:$C$32,$B37,$D$5:$D$32)</f>
        <v/>
      </c>
      <c r="D37" s="48">
        <f>SUMIF($C$5:$C$32,$B37,$E$5:$E$32)</f>
        <v/>
      </c>
    </row>
    <row r="38" ht="15" customHeight="1" s="32">
      <c r="B38" s="47" t="inlineStr">
        <is>
          <t>Operating Expense</t>
        </is>
      </c>
      <c r="C38" s="48">
        <f>SUMIF($C$5:$C$32,$B38,$D$5:$D$32)</f>
        <v/>
      </c>
      <c r="D38" s="48">
        <f>SUMIF($C$5:$C$32,$B38,$E$5:$E$32)</f>
        <v/>
      </c>
    </row>
    <row r="39" ht="15" customHeight="1" s="32">
      <c r="B39" s="47" t="inlineStr">
        <is>
          <t>Investment Revenue</t>
        </is>
      </c>
      <c r="C39" s="48">
        <f>SUMIF($C$5:$C$32,$B39,$D$5:$D$32)</f>
        <v/>
      </c>
      <c r="D39" s="48">
        <f>SUMIF($C$5:$C$32,$B39,$E$5:$E$32)</f>
        <v/>
      </c>
    </row>
    <row r="40" ht="15" customHeight="1" s="32">
      <c r="B40" s="47" t="inlineStr">
        <is>
          <t>Finance Costs</t>
        </is>
      </c>
      <c r="C40" s="48">
        <f>SUMIF($C$5:$C$32,$B40,$D$5:$D$32)</f>
        <v/>
      </c>
      <c r="D40" s="48">
        <f>SUMIF($C$5:$C$32,$B40,$E$5:$E$32)</f>
        <v/>
      </c>
    </row>
    <row r="41" ht="15" customHeight="1" s="32">
      <c r="B41" s="47" t="inlineStr">
        <is>
          <t>Other Income</t>
        </is>
      </c>
      <c r="C41" s="48">
        <f>SUMIF($C$5:$C$32,$B41,$D$5:$D$32)</f>
        <v/>
      </c>
      <c r="D41" s="48">
        <f>SUMIF($C$5:$C$32,$B41,$E$5:$E$32)</f>
        <v/>
      </c>
    </row>
    <row r="42" ht="15" customHeight="1" s="32">
      <c r="B42" s="47" t="inlineStr">
        <is>
          <t>Trade and Other Receivables</t>
        </is>
      </c>
      <c r="C42" s="48">
        <f>SUMIF($C$5:$C$32,$B42,$D$5:$D$32)</f>
        <v/>
      </c>
      <c r="D42" s="48">
        <f>SUMIF($C$5:$C$32,$B42,$E$5:$E$32)</f>
        <v/>
      </c>
    </row>
    <row r="43" ht="15" customHeight="1" s="32">
      <c r="B43" s="47" t="inlineStr">
        <is>
          <t>Inventory</t>
        </is>
      </c>
      <c r="C43" s="48">
        <f>SUMIF($C$5:$C$32,$B43,$D$5:$D$32)</f>
        <v/>
      </c>
      <c r="D43" s="48">
        <f>SUMIF($C$5:$C$32,$B43,$E$5:$E$32)</f>
        <v/>
      </c>
    </row>
    <row r="44" ht="15" customHeight="1" s="32">
      <c r="B44" s="47" t="inlineStr">
        <is>
          <t>Cash and Cash Equivalents</t>
        </is>
      </c>
      <c r="C44" s="48">
        <f>SUMIF($C$5:$C$32,$B44,$D$5:$D$32)</f>
        <v/>
      </c>
      <c r="D44" s="48">
        <f>SUMIF($C$5:$C$32,$B44,$E$5:$E$32)</f>
        <v/>
      </c>
    </row>
    <row r="45" ht="15" customHeight="1" s="32">
      <c r="B45" s="47" t="inlineStr">
        <is>
          <t>Share Capital</t>
        </is>
      </c>
      <c r="C45" s="48">
        <f>SUMIF($C$5:$C$32,$B45,$D$5:$D$32)</f>
        <v/>
      </c>
      <c r="D45" s="48">
        <f>SUMIF($C$5:$C$32,$B45,$E$5:$E$32)</f>
        <v/>
      </c>
    </row>
    <row r="46" ht="15" customHeight="1" s="32">
      <c r="B46" s="47" t="inlineStr">
        <is>
          <t>Trade and Other Payables</t>
        </is>
      </c>
      <c r="C46" s="48">
        <f>SUMIF($C$5:$C$32,$B46,$D$5:$D$32)</f>
        <v/>
      </c>
      <c r="D46" s="48">
        <f>SUMIF($C$5:$C$32,$B46,$E$5:$E$32)</f>
        <v/>
      </c>
    </row>
    <row r="47" ht="15" customHeight="1" s="32">
      <c r="B47" s="47" t="inlineStr">
        <is>
          <t>Current Tax Payable</t>
        </is>
      </c>
      <c r="C47" s="48">
        <f>SUMIF($C$5:$C$32,$B47,$D$5:$D$32)</f>
        <v/>
      </c>
      <c r="D47" s="48">
        <f>SUMIF($C$5:$C$32,$B47,$E$5:$E$32)</f>
        <v/>
      </c>
    </row>
    <row r="48" ht="15" customHeight="1" s="32">
      <c r="B48" s="47" t="inlineStr">
        <is>
          <t>Other Current Asset</t>
        </is>
      </c>
      <c r="C48" s="48">
        <f>SUMIF($C$5:$C$32,$B48,$D$5:$D$32)</f>
        <v/>
      </c>
      <c r="D48" s="48">
        <f>SUMIF($C$5:$C$32,$B48,$E$5:$E$32)</f>
        <v/>
      </c>
    </row>
    <row r="49" ht="15" customHeight="1" s="32">
      <c r="B49" s="47" t="inlineStr">
        <is>
          <t>Other Current Liability</t>
        </is>
      </c>
      <c r="C49" s="48">
        <f>SUMIF($C$5:$C$32,$B49,$D$5:$D$32)</f>
        <v/>
      </c>
      <c r="D49" s="48">
        <f>SUMIF($C$5:$C$32,$B49,$E$5:$E$32)</f>
        <v/>
      </c>
    </row>
    <row r="50" ht="15" customHeight="1" s="32">
      <c r="B50" s="47" t="inlineStr">
        <is>
          <t>Other Non-Current Liability</t>
        </is>
      </c>
      <c r="C50" s="48">
        <f>SUMIF($C$5:$C$32,$B50,$D$5:$D$32)</f>
        <v/>
      </c>
      <c r="D50" s="48">
        <f>SUMIF($C$5:$C$32,$B50,$E$5:$E$32)</f>
        <v/>
      </c>
    </row>
  </sheetData>
  <dataValidations count="1">
    <dataValidation sqref="C5:C32" showDropDown="0" showInputMessage="0" showErrorMessage="0" allowBlank="1" type="list" errorStyle="stop" operator="between">
      <formula1>"Revenue,Cost of Sales,Operating Expense,Investment Revenue,Finance Costs,Other Income,Trade and Other Receivables,Inventory,Cash and Cash Equivalents,Share Capital,Trade and Other Payables,Current Tax Payable,Other Current Asset,Other Current Liability,Ot"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20" customWidth="1" style="31" min="2" max="2"/>
    <col width="16" customWidth="1" style="31" min="3" max="3"/>
    <col width="12" customWidth="1" style="31" min="4" max="4"/>
    <col width="13" customWidth="1" style="31" min="5" max="8"/>
    <col width="15" customWidth="1" style="31" min="9" max="9"/>
    <col width="14" customWidth="1" style="31" min="10" max="10"/>
    <col width="16" customWidth="1" style="31" min="11" max="11"/>
    <col width="15" customWidth="1" style="31" min="12" max="12"/>
    <col width="14" customWidth="1" style="31" min="13" max="13"/>
  </cols>
  <sheetData>
    <row r="1" ht="21.75" customHeight="1" s="32">
      <c r="A1" s="33" t="inlineStr">
        <is>
          <t>PPE Register</t>
        </is>
      </c>
    </row>
    <row r="2" ht="15" customHeight="1" s="32">
      <c r="A2" s="34" t="inlineStr">
        <is>
          <t>One row per asset class. Drives the Property, Plant and Equipment note, the depreciation charge, and the cash flow 'Purchase of PPE' line.</t>
        </is>
      </c>
    </row>
    <row r="4" ht="39.75" customHeight="1" s="32">
      <c r="B4" s="43" t="inlineStr">
        <is>
          <t>Asset Category</t>
        </is>
      </c>
      <c r="C4" s="43" t="inlineStr">
        <is>
          <t>Depreciation Method</t>
        </is>
      </c>
      <c r="D4" s="43" t="inlineStr">
        <is>
          <t>Useful Life (yrs)</t>
        </is>
      </c>
      <c r="E4" s="43" t="inlineStr">
        <is>
          <t>Opening Cost</t>
        </is>
      </c>
      <c r="F4" s="43" t="inlineStr">
        <is>
          <t>Additions</t>
        </is>
      </c>
      <c r="G4" s="43" t="inlineStr">
        <is>
          <t>Disposals - Cost</t>
        </is>
      </c>
      <c r="H4" s="43" t="inlineStr">
        <is>
          <t>Closing Cost</t>
        </is>
      </c>
      <c r="I4" s="43" t="inlineStr">
        <is>
          <t>Opening Accum. Depreciation</t>
        </is>
      </c>
      <c r="J4" s="43" t="inlineStr">
        <is>
          <t>Depreciation Charge</t>
        </is>
      </c>
      <c r="K4" s="43" t="inlineStr">
        <is>
          <t>Accum. Depreciation on Disposals</t>
        </is>
      </c>
      <c r="L4" s="43" t="inlineStr">
        <is>
          <t>Closing Accum. Depreciation</t>
        </is>
      </c>
      <c r="M4" s="43" t="inlineStr">
        <is>
          <t>Carrying Value</t>
        </is>
      </c>
    </row>
    <row r="5" ht="15" customHeight="1" s="32">
      <c r="B5" s="39" t="inlineStr">
        <is>
          <t>Office equipment</t>
        </is>
      </c>
      <c r="C5" s="39" t="inlineStr">
        <is>
          <t>Straight line</t>
        </is>
      </c>
      <c r="D5" s="39" t="n">
        <v>6</v>
      </c>
      <c r="E5" s="49" t="n">
        <v>7200</v>
      </c>
      <c r="F5" s="49" t="n">
        <v>0</v>
      </c>
      <c r="G5" s="49" t="n">
        <v>0</v>
      </c>
      <c r="H5" s="50">
        <f>E5+F5-G5</f>
        <v/>
      </c>
      <c r="I5" s="49" t="n">
        <v>7199</v>
      </c>
      <c r="J5" s="49" t="n">
        <v>0</v>
      </c>
      <c r="K5" s="49" t="n">
        <v>0</v>
      </c>
      <c r="L5" s="50">
        <f>I5+J5-K5</f>
        <v/>
      </c>
      <c r="M5" s="50">
        <f>H5-L5</f>
        <v/>
      </c>
    </row>
    <row r="6" ht="15" customHeight="1" s="32">
      <c r="B6" s="39" t="inlineStr">
        <is>
          <t>IT equipment</t>
        </is>
      </c>
      <c r="C6" s="39" t="inlineStr">
        <is>
          <t>Straight line</t>
        </is>
      </c>
      <c r="D6" s="39" t="n">
        <v>3</v>
      </c>
      <c r="E6" s="49" t="n">
        <v>6300</v>
      </c>
      <c r="F6" s="49" t="n">
        <v>0</v>
      </c>
      <c r="G6" s="49" t="n">
        <v>0</v>
      </c>
      <c r="H6" s="50">
        <f>E6+F6-G6</f>
        <v/>
      </c>
      <c r="I6" s="49" t="n">
        <v>5891</v>
      </c>
      <c r="J6" s="49" t="n">
        <v>408</v>
      </c>
      <c r="K6" s="49" t="n">
        <v>0</v>
      </c>
      <c r="L6" s="50">
        <f>I6+J6-K6</f>
        <v/>
      </c>
      <c r="M6" s="50">
        <f>H6-L6</f>
        <v/>
      </c>
    </row>
    <row r="7" ht="15" customHeight="1" s="32">
      <c r="B7" s="44" t="n"/>
      <c r="C7" s="44" t="n"/>
      <c r="D7" s="44" t="n"/>
      <c r="E7" s="46" t="n"/>
      <c r="F7" s="46" t="n"/>
      <c r="G7" s="46" t="n"/>
      <c r="H7" s="51">
        <f>E7+F7-G7</f>
        <v/>
      </c>
      <c r="I7" s="46" t="n"/>
      <c r="J7" s="46" t="n"/>
      <c r="K7" s="46" t="n"/>
      <c r="L7" s="51">
        <f>I7+J7-K7</f>
        <v/>
      </c>
      <c r="M7" s="51">
        <f>H7-L7</f>
        <v/>
      </c>
    </row>
    <row r="8" ht="15" customHeight="1" s="32">
      <c r="B8" s="44" t="n"/>
      <c r="C8" s="44" t="n"/>
      <c r="D8" s="44" t="n"/>
      <c r="E8" s="46" t="n"/>
      <c r="F8" s="46" t="n"/>
      <c r="G8" s="46" t="n"/>
      <c r="H8" s="51">
        <f>E8+F8-G8</f>
        <v/>
      </c>
      <c r="I8" s="46" t="n"/>
      <c r="J8" s="46" t="n"/>
      <c r="K8" s="46" t="n"/>
      <c r="L8" s="51">
        <f>I8+J8-K8</f>
        <v/>
      </c>
      <c r="M8" s="51">
        <f>H8-L8</f>
        <v/>
      </c>
    </row>
    <row r="9" ht="15" customHeight="1" s="32">
      <c r="B9" s="44" t="n"/>
      <c r="C9" s="44" t="n"/>
      <c r="D9" s="44" t="n"/>
      <c r="E9" s="46" t="n"/>
      <c r="F9" s="46" t="n"/>
      <c r="G9" s="46" t="n"/>
      <c r="H9" s="51">
        <f>E9+F9-G9</f>
        <v/>
      </c>
      <c r="I9" s="46" t="n"/>
      <c r="J9" s="46" t="n"/>
      <c r="K9" s="46" t="n"/>
      <c r="L9" s="51">
        <f>I9+J9-K9</f>
        <v/>
      </c>
      <c r="M9" s="51">
        <f>H9-L9</f>
        <v/>
      </c>
    </row>
    <row r="10" ht="15" customHeight="1" s="32">
      <c r="B10" s="44" t="n"/>
      <c r="C10" s="44" t="n"/>
      <c r="D10" s="44" t="n"/>
      <c r="E10" s="46" t="n"/>
      <c r="F10" s="46" t="n"/>
      <c r="G10" s="46" t="n"/>
      <c r="H10" s="51">
        <f>E10+F10-G10</f>
        <v/>
      </c>
      <c r="I10" s="46" t="n"/>
      <c r="J10" s="46" t="n"/>
      <c r="K10" s="46" t="n"/>
      <c r="L10" s="51">
        <f>I10+J10-K10</f>
        <v/>
      </c>
      <c r="M10" s="51">
        <f>H10-L10</f>
        <v/>
      </c>
    </row>
    <row r="11" ht="15" customHeight="1" s="32">
      <c r="B11" s="52" t="inlineStr">
        <is>
          <t>Total</t>
        </is>
      </c>
      <c r="E11" s="53">
        <f>SUM(E5:E10)</f>
        <v/>
      </c>
      <c r="F11" s="53">
        <f>SUM(F5:F10)</f>
        <v/>
      </c>
      <c r="G11" s="53">
        <f>SUM(G5:G10)</f>
        <v/>
      </c>
      <c r="H11" s="53">
        <f>SUM(H5:H10)</f>
        <v/>
      </c>
      <c r="I11" s="53">
        <f>SUM(I5:I10)</f>
        <v/>
      </c>
      <c r="J11" s="53">
        <f>SUM(J5:J10)</f>
        <v/>
      </c>
      <c r="K11" s="53">
        <f>SUM(K5:K10)</f>
        <v/>
      </c>
      <c r="L11" s="53">
        <f>SUM(L5:L10)</f>
        <v/>
      </c>
      <c r="M11" s="53">
        <f>SUM(M5:M10)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28" customWidth="1" style="31" min="2" max="2"/>
    <col width="12" customWidth="1" style="31" min="3" max="3"/>
    <col width="14" customWidth="1" style="31" min="4" max="8"/>
    <col width="15" customWidth="1" style="31" min="9" max="9"/>
    <col width="14" customWidth="1" style="31" min="10" max="10"/>
    <col width="30" customWidth="1" style="31" min="11" max="11"/>
  </cols>
  <sheetData>
    <row r="1" ht="21.75" customHeight="1" s="32">
      <c r="A1" s="33" t="inlineStr">
        <is>
          <t>Loans to-from Shareholders</t>
        </is>
      </c>
    </row>
    <row r="2" ht="15" customHeight="1" s="32">
      <c r="A2" s="34" t="inlineStr">
        <is>
          <t>One row per director/shareholder loan account. Drives the loan note and the related cash flow movement.</t>
        </is>
      </c>
    </row>
    <row r="4" ht="30" customHeight="1" s="32">
      <c r="B4" s="43" t="inlineStr">
        <is>
          <t>Shareholder / Director Name</t>
        </is>
      </c>
      <c r="C4" s="43" t="inlineStr">
        <is>
          <t>Direction
(To / From)</t>
        </is>
      </c>
      <c r="D4" s="43" t="inlineStr">
        <is>
          <t>Opening Balance</t>
        </is>
      </c>
      <c r="E4" s="43" t="inlineStr">
        <is>
          <t>Advances</t>
        </is>
      </c>
      <c r="F4" s="43" t="inlineStr">
        <is>
          <t>Repayments</t>
        </is>
      </c>
      <c r="G4" s="43" t="inlineStr">
        <is>
          <t>Interest Rate % p.a.</t>
        </is>
      </c>
      <c r="H4" s="43" t="inlineStr">
        <is>
          <t>Interest Charged
(received in cash)</t>
        </is>
      </c>
      <c r="I4" s="43" t="inlineStr">
        <is>
          <t>Closing Balance</t>
        </is>
      </c>
      <c r="J4" s="43" t="inlineStr">
        <is>
          <t>Secured / Unsecured</t>
        </is>
      </c>
      <c r="K4" s="43" t="inlineStr">
        <is>
          <t>Repayment Terms</t>
        </is>
      </c>
    </row>
    <row r="5" ht="15" customHeight="1" s="32">
      <c r="B5" s="39" t="inlineStr">
        <is>
          <t>J. Sample</t>
        </is>
      </c>
      <c r="C5" s="39" t="inlineStr">
        <is>
          <t>To</t>
        </is>
      </c>
      <c r="D5" s="42" t="n">
        <v>146518</v>
      </c>
      <c r="E5" s="42" t="n">
        <v>18107</v>
      </c>
      <c r="F5" s="42" t="n">
        <v>0</v>
      </c>
      <c r="G5" s="54" t="n">
        <v>0.0775</v>
      </c>
      <c r="H5" s="42" t="n">
        <v>11841</v>
      </c>
      <c r="I5" s="51">
        <f>D5+E5-F5</f>
        <v/>
      </c>
      <c r="J5" s="39" t="inlineStr">
        <is>
          <t>Unsecured</t>
        </is>
      </c>
      <c r="K5" s="45" t="inlineStr">
        <is>
          <t>No fixed terms of repayment have been set</t>
        </is>
      </c>
    </row>
    <row r="6" ht="15" customHeight="1" s="32">
      <c r="B6" s="44" t="n"/>
      <c r="C6" s="44" t="n"/>
      <c r="D6" s="46" t="n"/>
      <c r="E6" s="46" t="n"/>
      <c r="F6" s="46" t="n"/>
      <c r="G6" s="55" t="n"/>
      <c r="H6" s="46" t="n"/>
      <c r="I6" s="51">
        <f>D6+E6-F6</f>
        <v/>
      </c>
      <c r="J6" s="44" t="n"/>
      <c r="K6" s="44" t="n"/>
    </row>
    <row r="7" ht="15" customHeight="1" s="32">
      <c r="B7" s="44" t="n"/>
      <c r="C7" s="44" t="n"/>
      <c r="D7" s="46" t="n"/>
      <c r="E7" s="46" t="n"/>
      <c r="F7" s="46" t="n"/>
      <c r="G7" s="55" t="n"/>
      <c r="H7" s="46" t="n"/>
      <c r="I7" s="51">
        <f>D7+E7-F7</f>
        <v/>
      </c>
      <c r="J7" s="44" t="n"/>
      <c r="K7" s="44" t="n"/>
    </row>
    <row r="8" ht="15" customHeight="1" s="32">
      <c r="B8" s="44" t="n"/>
      <c r="C8" s="44" t="n"/>
      <c r="D8" s="46" t="n"/>
      <c r="E8" s="46" t="n"/>
      <c r="F8" s="46" t="n"/>
      <c r="G8" s="55" t="n"/>
      <c r="H8" s="46" t="n"/>
      <c r="I8" s="51">
        <f>D8+E8-F8</f>
        <v/>
      </c>
      <c r="J8" s="44" t="n"/>
      <c r="K8" s="44" t="n"/>
    </row>
    <row r="9" ht="15" customHeight="1" s="32">
      <c r="B9" s="44" t="n"/>
      <c r="C9" s="44" t="n"/>
      <c r="D9" s="46" t="n"/>
      <c r="E9" s="46" t="n"/>
      <c r="F9" s="46" t="n"/>
      <c r="G9" s="55" t="n"/>
      <c r="H9" s="46" t="n"/>
      <c r="I9" s="51">
        <f>D9+E9-F9</f>
        <v/>
      </c>
      <c r="J9" s="44" t="n"/>
      <c r="K9" s="44" t="n"/>
    </row>
    <row r="10" ht="15" customHeight="1" s="32">
      <c r="B10" s="52" t="inlineStr">
        <is>
          <t>Total</t>
        </is>
      </c>
      <c r="D10" s="53">
        <f>SUM(D5:D9)</f>
        <v/>
      </c>
      <c r="E10" s="53">
        <f>SUM(E5:E9)</f>
        <v/>
      </c>
      <c r="F10" s="53">
        <f>SUM(F5:F9)</f>
        <v/>
      </c>
      <c r="H10" s="53">
        <f>SUM(H5:H9)</f>
        <v/>
      </c>
      <c r="I10" s="53">
        <f>SUM(I5:I9)</f>
        <v/>
      </c>
    </row>
  </sheetData>
  <dataValidations count="2">
    <dataValidation sqref="C5:C9" showDropDown="0" showInputMessage="0" showErrorMessage="0" allowBlank="1" type="list" errorStyle="stop" operator="between">
      <formula1>"To,From"</formula1>
      <formula2>0</formula2>
    </dataValidation>
    <dataValidation sqref="J5:J9" showDropDown="0" showInputMessage="0" showErrorMessage="0" allowBlank="1" type="list" errorStyle="stop" operator="between">
      <formula1>"Secured,Unsecured"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42" customWidth="1" style="31" min="2" max="2"/>
    <col width="18" customWidth="1" style="31" min="3" max="5"/>
    <col width="16" customWidth="1" style="31" min="6" max="6"/>
  </cols>
  <sheetData>
    <row r="1" ht="21.75" customHeight="1" s="32">
      <c r="A1" s="33" t="inlineStr">
        <is>
          <t>Tax Computation</t>
        </is>
      </c>
    </row>
    <row r="2" ht="15" customHeight="1" s="32">
      <c r="A2" s="34" t="inlineStr">
        <is>
          <t>Current-tax computation for the year, plus the editable SBC / company tax bracket table the app uses to calculate the tax charge.</t>
        </is>
      </c>
    </row>
    <row r="4" ht="15" customHeight="1" s="32">
      <c r="B4" s="38" t="inlineStr">
        <is>
          <t>Net profit per income statement</t>
        </is>
      </c>
      <c r="C4" s="48">
        <f>'Trial Balance'!C36-'Trial Balance'!C37-'Trial Balance'!C38-'PPE Register'!J11+'Trial Balance'!C39-'Trial Balance'!C40</f>
        <v/>
      </c>
    </row>
    <row r="6" ht="15" customHeight="1" s="32">
      <c r="B6" s="37" t="inlineStr">
        <is>
          <t>Temporary differences</t>
        </is>
      </c>
    </row>
    <row r="7" ht="15" customHeight="1" s="32">
      <c r="B7" s="43" t="inlineStr">
        <is>
          <t>Description</t>
        </is>
      </c>
      <c r="C7" s="43" t="inlineStr">
        <is>
          <t>Amount</t>
        </is>
      </c>
    </row>
    <row r="8" ht="15" customHeight="1" s="32">
      <c r="B8" s="56" t="inlineStr">
        <is>
          <t>Plant and machinery where company qualifies as SBC: s12E wear-and-tear</t>
        </is>
      </c>
      <c r="C8" s="50">
        <f>-'PPE Register'!J11</f>
        <v/>
      </c>
    </row>
    <row r="9" ht="15" customHeight="1" s="32">
      <c r="B9" s="56" t="inlineStr">
        <is>
          <t>Depreciation according to the financial statements</t>
        </is>
      </c>
      <c r="C9" s="50">
        <f>'PPE Register'!J11</f>
        <v/>
      </c>
    </row>
    <row r="10" ht="15" customHeight="1" s="32">
      <c r="B10" s="44" t="n"/>
      <c r="C10" s="46" t="n"/>
    </row>
    <row r="11" ht="15" customHeight="1" s="32">
      <c r="B11" s="44" t="n"/>
      <c r="C11" s="46" t="n"/>
    </row>
    <row r="12" ht="15" customHeight="1" s="32">
      <c r="B12" s="52" t="inlineStr">
        <is>
          <t>Total temporary differences</t>
        </is>
      </c>
      <c r="C12" s="53">
        <f>SUM(C8:C11)</f>
        <v/>
      </c>
    </row>
    <row r="14" ht="15" customHeight="1" s="32">
      <c r="B14" s="38" t="inlineStr">
        <is>
          <t>Calculated tax profit for the year</t>
        </is>
      </c>
      <c r="C14" s="48">
        <f>C4+C12</f>
        <v/>
      </c>
    </row>
    <row r="15" ht="15" customHeight="1" s="32">
      <c r="B15" s="38" t="inlineStr">
        <is>
          <t>Assessed loss brought forward</t>
        </is>
      </c>
      <c r="C15" s="42" t="n">
        <v>0</v>
      </c>
    </row>
    <row r="16" ht="15" customHeight="1" s="32">
      <c r="B16" s="38" t="inlineStr">
        <is>
          <t>Assessed loss utilised</t>
        </is>
      </c>
      <c r="C16" s="48">
        <f>-MIN(C15,MAX(0,C14))</f>
        <v/>
      </c>
    </row>
    <row r="17" ht="15" customHeight="1" s="32">
      <c r="B17" s="52" t="inlineStr">
        <is>
          <t>Taxable income for the year</t>
        </is>
      </c>
      <c r="C17" s="53">
        <f>MAX(0,C14+C16)</f>
        <v/>
      </c>
    </row>
    <row r="18" ht="15" customHeight="1" s="32">
      <c r="B18" s="38" t="inlineStr">
        <is>
          <t>Assessed loss carried forward</t>
        </is>
      </c>
      <c r="C18" s="48">
        <f>MAX(0,C15+C16)+MAX(0,-(C14+C16))</f>
        <v/>
      </c>
    </row>
    <row r="20" ht="15" customHeight="1" s="32">
      <c r="B20" s="37" t="inlineStr">
        <is>
          <t>SBC / Company tax bracket table - EDIT FOR THE APPLICABLE YEAR OF ASSESSMENT</t>
        </is>
      </c>
    </row>
    <row r="21" ht="15" customHeight="1" s="32">
      <c r="B21" s="43" t="inlineStr">
        <is>
          <t>Lower Limit</t>
        </is>
      </c>
      <c r="C21" s="43" t="inlineStr">
        <is>
          <t>Upper Limit</t>
        </is>
      </c>
      <c r="D21" s="43" t="inlineStr">
        <is>
          <t>Rate</t>
        </is>
      </c>
    </row>
    <row r="22" ht="15" customHeight="1" s="32">
      <c r="B22" s="42" t="n">
        <v>0</v>
      </c>
      <c r="C22" s="42" t="n">
        <v>95750</v>
      </c>
      <c r="D22" s="54" t="n">
        <v>0</v>
      </c>
    </row>
    <row r="23" ht="15" customHeight="1" s="32">
      <c r="B23" s="42" t="n">
        <v>95751</v>
      </c>
      <c r="C23" s="42" t="n">
        <v>365000</v>
      </c>
      <c r="D23" s="54" t="n">
        <v>0.07000000000000001</v>
      </c>
    </row>
    <row r="24" ht="15" customHeight="1" s="32">
      <c r="B24" s="42" t="n">
        <v>365001</v>
      </c>
      <c r="C24" s="42" t="n">
        <v>550000</v>
      </c>
      <c r="D24" s="54" t="n">
        <v>0.21</v>
      </c>
    </row>
    <row r="25" ht="15" customHeight="1" s="32">
      <c r="B25" s="42" t="n">
        <v>550001</v>
      </c>
      <c r="C25" s="39" t="inlineStr">
        <is>
          <t>N/A</t>
        </is>
      </c>
      <c r="D25" s="54" t="n">
        <v>0.27</v>
      </c>
    </row>
    <row r="27" ht="15" customHeight="1" s="32">
      <c r="B27" s="34" t="inlineStr">
        <is>
          <t>Reference only - SBC brackets for financial years ending 1 April 2026 - 31 March 2027</t>
        </is>
      </c>
    </row>
    <row r="28" ht="15" customHeight="1" s="32">
      <c r="B28" s="57" t="n">
        <v>1</v>
      </c>
      <c r="C28" s="57" t="n">
        <v>99000</v>
      </c>
      <c r="D28" s="58" t="n">
        <v>0</v>
      </c>
    </row>
    <row r="29" ht="15" customHeight="1" s="32">
      <c r="B29" s="57" t="n">
        <v>99001</v>
      </c>
      <c r="C29" s="57" t="n">
        <v>365000</v>
      </c>
      <c r="D29" s="58" t="n">
        <v>0.07000000000000001</v>
      </c>
    </row>
    <row r="30" ht="15" customHeight="1" s="32">
      <c r="B30" s="57" t="n">
        <v>365001</v>
      </c>
      <c r="C30" s="57" t="n">
        <v>550000</v>
      </c>
      <c r="D30" s="58" t="n">
        <v>0.21</v>
      </c>
    </row>
    <row r="31" ht="15" customHeight="1" s="32">
      <c r="B31" s="57" t="n">
        <v>550001</v>
      </c>
      <c r="C31" s="34" t="inlineStr">
        <is>
          <t>N/A</t>
        </is>
      </c>
      <c r="D31" s="58" t="n">
        <v>0.27</v>
      </c>
    </row>
    <row r="33" ht="15" customHeight="1" s="32">
      <c r="B33" s="52" t="inlineStr">
        <is>
          <t>Tax thereon @ rate determined in the table above</t>
        </is>
      </c>
    </row>
    <row r="34" ht="15" customHeight="1" s="32">
      <c r="C34" s="59">
        <f>(MAX(0,MIN(C$17,C22)-(B22-1)))*D22+(MAX(0,MIN(C$17,C23)-(B23-1)))*D23+(MAX(0,MIN(C$17,C24)-(B24-1)))*D24+(MAX(0,C$17-(B25-1)))*D25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40" customWidth="1" style="31" min="2" max="2"/>
    <col width="14" customWidth="1" style="31" min="3" max="3"/>
    <col width="55" customWidth="1" style="31" min="4" max="4"/>
  </cols>
  <sheetData>
    <row r="1" ht="21.75" customHeight="1" s="32">
      <c r="A1" s="33" t="inlineStr">
        <is>
          <t>Policy Elections</t>
        </is>
      </c>
    </row>
    <row r="2" ht="15" customHeight="1" s="32">
      <c r="A2" s="34" t="inlineStr">
        <is>
          <t>Tick which IFRS for SME's accounting policy sections apply, so the app only prints the policies (and matching notes) relevant to this entity.</t>
        </is>
      </c>
    </row>
    <row r="4" ht="19.5" customHeight="1" s="32">
      <c r="B4" s="43" t="inlineStr">
        <is>
          <t>Accounting Policy Area (IFRS for SME's Section)</t>
        </is>
      </c>
      <c r="C4" s="43" t="inlineStr">
        <is>
          <t>Applicable? (Y/N)</t>
        </is>
      </c>
      <c r="D4" s="43" t="inlineStr">
        <is>
          <t>Notes</t>
        </is>
      </c>
    </row>
    <row r="5" ht="15" customHeight="1" s="32">
      <c r="B5" s="39" t="inlineStr">
        <is>
          <t>Property, plant and equipment (Section 17)</t>
        </is>
      </c>
      <c r="C5" s="39" t="inlineStr">
        <is>
          <t>Y</t>
        </is>
      </c>
      <c r="D5" s="45" t="inlineStr">
        <is>
          <t>Straight-line depreciation per the PPE Register</t>
        </is>
      </c>
    </row>
    <row r="6" ht="15" customHeight="1" s="32">
      <c r="B6" s="39" t="inlineStr">
        <is>
          <t>Financial instruments (Sections 11 &amp; 12)</t>
        </is>
      </c>
      <c r="C6" s="39" t="inlineStr">
        <is>
          <t>Y</t>
        </is>
      </c>
      <c r="D6" s="45" t="inlineStr">
        <is>
          <t>Loans, cash, trade receivables/payables at amortised cost</t>
        </is>
      </c>
    </row>
    <row r="7" ht="15" customHeight="1" s="32">
      <c r="B7" s="39" t="inlineStr">
        <is>
          <t>Income tax, current and deferred (Section 29)</t>
        </is>
      </c>
      <c r="C7" s="39" t="inlineStr">
        <is>
          <t>Y</t>
        </is>
      </c>
      <c r="D7" s="45" t="n"/>
    </row>
    <row r="8" ht="15" customHeight="1" s="32">
      <c r="B8" s="39" t="inlineStr">
        <is>
          <t>Employee benefits, short-term (Section 28)</t>
        </is>
      </c>
      <c r="C8" s="39" t="inlineStr">
        <is>
          <t>Y</t>
        </is>
      </c>
      <c r="D8" s="45" t="n"/>
    </row>
    <row r="9" ht="15" customHeight="1" s="32">
      <c r="B9" s="39" t="inlineStr">
        <is>
          <t>Revenue (Section 23)</t>
        </is>
      </c>
      <c r="C9" s="39" t="inlineStr">
        <is>
          <t>Y</t>
        </is>
      </c>
      <c r="D9" s="45" t="inlineStr">
        <is>
          <t>Rendering of services - stage of completion</t>
        </is>
      </c>
    </row>
    <row r="10" ht="15" customHeight="1" s="32">
      <c r="B10" s="39" t="inlineStr">
        <is>
          <t>Inventories (Section 13)</t>
        </is>
      </c>
      <c r="C10" s="39" t="inlineStr">
        <is>
          <t>N</t>
        </is>
      </c>
      <c r="D10" s="45" t="inlineStr">
        <is>
          <t>Set to Y if the entity holds inventory</t>
        </is>
      </c>
    </row>
    <row r="11" ht="15" customHeight="1" s="32">
      <c r="B11" s="39" t="inlineStr">
        <is>
          <t>Leases (Section 20)</t>
        </is>
      </c>
      <c r="C11" s="39" t="inlineStr">
        <is>
          <t>N</t>
        </is>
      </c>
      <c r="D11" s="45" t="n"/>
    </row>
    <row r="12" ht="15" customHeight="1" s="32">
      <c r="B12" s="39" t="inlineStr">
        <is>
          <t>Provisions and contingencies (Section 21)</t>
        </is>
      </c>
      <c r="C12" s="39" t="inlineStr">
        <is>
          <t>N</t>
        </is>
      </c>
      <c r="D12" s="45" t="n"/>
    </row>
    <row r="13" ht="15" customHeight="1" s="32">
      <c r="B13" s="39" t="inlineStr">
        <is>
          <t>Related party disclosures (Section 33)</t>
        </is>
      </c>
      <c r="C13" s="39" t="inlineStr">
        <is>
          <t>Y</t>
        </is>
      </c>
      <c r="D13" s="45" t="inlineStr">
        <is>
          <t>Director/shareholder loan account</t>
        </is>
      </c>
    </row>
    <row r="14" ht="15" customHeight="1" s="32">
      <c r="B14" s="39" t="inlineStr">
        <is>
          <t>Impairment of assets (Section 27)</t>
        </is>
      </c>
      <c r="C14" s="39" t="inlineStr">
        <is>
          <t>N</t>
        </is>
      </c>
      <c r="D14" s="45" t="n"/>
    </row>
    <row r="15" ht="15" customHeight="1" s="32">
      <c r="B15" s="39" t="inlineStr">
        <is>
          <t>Foreign currency translation (Section 30)</t>
        </is>
      </c>
      <c r="C15" s="39" t="inlineStr">
        <is>
          <t>N</t>
        </is>
      </c>
      <c r="D15" s="45" t="n"/>
    </row>
    <row r="16" ht="15" customHeight="1" s="32">
      <c r="B16" s="39" t="inlineStr">
        <is>
          <t>Government grants (Section 24)</t>
        </is>
      </c>
      <c r="C16" s="39" t="inlineStr">
        <is>
          <t>N</t>
        </is>
      </c>
      <c r="D16" s="45" t="n"/>
    </row>
    <row r="17" ht="15" customHeight="1" s="32">
      <c r="B17" s="39" t="inlineStr">
        <is>
          <t>Borrowing costs (Section 25)</t>
        </is>
      </c>
      <c r="C17" s="39" t="inlineStr">
        <is>
          <t>N</t>
        </is>
      </c>
      <c r="D17" s="45" t="n"/>
    </row>
    <row r="18" ht="15" customHeight="1" s="32">
      <c r="B18" s="39" t="inlineStr">
        <is>
          <t>Statement of cash flows (Section 7)</t>
        </is>
      </c>
      <c r="C18" s="39" t="inlineStr">
        <is>
          <t>Y</t>
        </is>
      </c>
      <c r="D18" s="45" t="inlineStr">
        <is>
          <t>Indirect/direct method as applicable</t>
        </is>
      </c>
    </row>
  </sheetData>
  <dataValidations count="1">
    <dataValidation sqref="C5:C18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46" customWidth="1" style="31" min="2" max="2"/>
    <col width="18" customWidth="1" style="31" min="3" max="4"/>
    <col width="14" customWidth="1" style="31" min="5" max="5"/>
  </cols>
  <sheetData>
    <row r="1" ht="21.75" customHeight="1" s="32">
      <c r="A1" s="33" t="inlineStr">
        <is>
          <t>Validation Summary</t>
        </is>
      </c>
    </row>
    <row r="2" ht="15" customHeight="1" s="32">
      <c r="A2" s="34" t="inlineStr">
        <is>
          <t>Read-only cross-checks. Every 'Difference' cell must read 0 before you import this workbook into the app.</t>
        </is>
      </c>
    </row>
    <row r="4" ht="23.85" customHeight="1" s="32">
      <c r="B4" s="43" t="inlineStr">
        <is>
          <t>Check</t>
        </is>
      </c>
      <c r="C4" s="43" t="inlineStr">
        <is>
          <t>Total Assets</t>
        </is>
      </c>
      <c r="D4" s="43" t="inlineStr">
        <is>
          <t>Total Equity + Liabilities</t>
        </is>
      </c>
      <c r="E4" s="43" t="inlineStr">
        <is>
          <t>Difference</t>
        </is>
      </c>
    </row>
    <row r="5" ht="15" customHeight="1" s="32">
      <c r="B5" s="60" t="inlineStr">
        <is>
          <t>Total Assets = Total Equity + Liabilities (current year)</t>
        </is>
      </c>
      <c r="C5" s="50">
        <f>'PPE Register'!M11+'Loans to-from Shareholders'!I10+'Trial Balance'!C44+'Trial Balance'!C42+'Trial Balance'!C43+'Trial Balance'!C48</f>
        <v/>
      </c>
      <c r="D5" s="50">
        <f>'Trial Balance'!C45+('Entity Setup'!C29+('Trial Balance'!D36-'Trial Balance'!D37-'Trial Balance'!D38-'Entity Setup'!C34+'Trial Balance'!D39-'Trial Balance'!D40)+'Tax Computation'!C4)+'Trial Balance'!C46+'Trial Balance'!C47+'Trial Balance'!C49+'Trial Balance'!C50</f>
        <v/>
      </c>
      <c r="E5" s="61">
        <f>C5-D5</f>
        <v/>
      </c>
    </row>
    <row r="7" ht="15" customHeight="1" s="32">
      <c r="B7" s="43" t="inlineStr">
        <is>
          <t>Check</t>
        </is>
      </c>
      <c r="C7" s="43" t="inlineStr">
        <is>
          <t>Computed A</t>
        </is>
      </c>
      <c r="D7" s="43" t="inlineStr">
        <is>
          <t>Computed B</t>
        </is>
      </c>
      <c r="E7" s="43" t="inlineStr">
        <is>
          <t>Difference</t>
        </is>
      </c>
    </row>
    <row r="8" ht="15" customHeight="1" s="32">
      <c r="B8" s="60" t="inlineStr">
        <is>
          <t>Cash Flow computed closing cash vs Statement of Financial Position cash</t>
        </is>
      </c>
      <c r="C8" s="50">
        <f>'Trial Balance'!D44+('Trial Balance'!C36-('Trial Balance'!C37+'Trial Balance'!C38)+'Trial Balance'!C39-'Trial Balance'!C40)+(-'PPE Register'!F11+('Loans to-from Shareholders'!F10-'Loans to-from Shareholders'!E10))</f>
        <v/>
      </c>
      <c r="D8" s="50">
        <f>'Trial Balance'!C44</f>
        <v/>
      </c>
      <c r="E8" s="61">
        <f>C8-D8</f>
        <v/>
      </c>
    </row>
    <row r="9" ht="15" customHeight="1" s="32">
      <c r="B9" s="60" t="inlineStr">
        <is>
          <t>PPE Register total carrying value vs its own cost-less-depreciation total</t>
        </is>
      </c>
      <c r="C9" s="50">
        <f>'PPE Register'!M11</f>
        <v/>
      </c>
      <c r="D9" s="50">
        <f>'PPE Register'!H11-'PPE Register'!L11</f>
        <v/>
      </c>
      <c r="E9" s="61">
        <f>C9-D9</f>
        <v/>
      </c>
    </row>
    <row r="10" ht="15" customHeight="1" s="32">
      <c r="B10" s="60" t="inlineStr">
        <is>
          <t>Loans Register closing balance vs Opening + Advances - Repayments</t>
        </is>
      </c>
      <c r="C10" s="50">
        <f>'Loans to-from Shareholders'!I10</f>
        <v/>
      </c>
      <c r="D10" s="50">
        <f>'Loans to-from Shareholders'!D10+'Loans to-from Shareholders'!E10-'Loans to-from Shareholders'!F10</f>
        <v/>
      </c>
      <c r="E10" s="61">
        <f>C10-D10</f>
        <v/>
      </c>
    </row>
    <row r="11" ht="15" customHeight="1" s="32">
      <c r="B11" s="60" t="inlineStr">
        <is>
          <t>Retained income roll-forward: prior-year closing vs current-year opening</t>
        </is>
      </c>
      <c r="C11" s="50">
        <f>'Entity Setup'!C29+('Trial Balance'!D36-'Trial Balance'!D37-'Trial Balance'!D38-'Entity Setup'!C34+'Trial Balance'!D39-'Trial Balance'!D40)</f>
        <v/>
      </c>
      <c r="D11" s="50">
        <f>'Entity Setup'!C29+('Trial Balance'!D36-'Trial Balance'!D37-'Trial Balance'!D38-'Entity Setup'!C34+'Trial Balance'!D39-'Trial Balance'!D40)</f>
        <v/>
      </c>
      <c r="E11" s="61">
        <f>C11-D11</f>
        <v/>
      </c>
    </row>
    <row r="13" ht="27.75" customHeight="1" s="32">
      <c r="B13" s="62" t="inlineStr">
        <is>
          <t>All 'Difference' columns above must equal 0 (formatted as '-'). A non-zero difference means an input sheet is inconsistent - fix it before importing.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2026-09-22T15:43:11Z</dcterms:created>
  <dcterms:modified xmlns:dcterms="http://purl.org/dc/terms/" xmlns:xsi="http://www.w3.org/2001/XMLSchema-instance" xsi:type="dcterms:W3CDTF">2026-09-23T06:27:04Z</dcterms:modified>
  <cp:revision>0</cp:revision>
</cp:coreProperties>
</file>