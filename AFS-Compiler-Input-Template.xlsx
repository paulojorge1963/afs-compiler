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ntity Setup" sheetId="2" state="visible" r:id="rId4"/>
    <sheet name="Directors" sheetId="3" state="visible" r:id="rId5"/>
    <sheet name="Trial Balance" sheetId="4" state="visible" r:id="rId6"/>
    <sheet name="PPE Register" sheetId="5" state="visible" r:id="rId7"/>
    <sheet name="Loans to-from Shareholders" sheetId="6" state="visible" r:id="rId8"/>
    <sheet name="Tax Computation" sheetId="7" state="visible" r:id="rId9"/>
    <sheet name="Policy Elections" sheetId="8" state="visible" r:id="rId10"/>
    <sheet name="Validation Summary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9" authorId="0">
      <text>
        <r>
          <rPr>
            <sz val="10"/>
            <rFont val="Arial"/>
            <family val="2"/>
          </rPr>
          <t xml:space="preserve">Dropdown: Compilation Report / Independent Review Report / Audit Report. Determines which practitioner report template the app prints (small companies are commonly exempt from audit under s30 of the Companies Act, and use a compilation engagement under ISRS 4410 (Revised)).</t>
        </r>
      </text>
    </comment>
    <comment ref="C25" authorId="0">
      <text>
        <r>
          <rPr>
            <sz val="10"/>
            <rFont val="Arial"/>
            <family val="2"/>
          </rPr>
          <t xml:space="preserve">Dropdown: 'Second Edition (2015)' (mandatory until periods beginning on/after 1 Jan 2027) or 'Third Edition (2025) - early adopted' (mandatory for periods beginning on/after 1 Jan 2027, earlier application permitted if disclosed). Source: IASB, 'IASB issues third edition of the IFRS for SMEs Accounting Standard', Feb-2025.</t>
        </r>
      </text>
    </comment>
    <comment ref="C26" authorId="0">
      <text>
        <r>
          <rPr>
            <sz val="10"/>
            <rFont val="Arial"/>
            <family val="2"/>
          </rPr>
          <t xml:space="preserve">Dropdown: Yes / No. Controls whether the Tax Computation sheet applies the SBC bracket table or the standard flat company tax rate.</t>
        </r>
      </text>
    </comment>
    <comment ref="C31" authorId="0">
      <text>
        <r>
          <rPr>
            <sz val="10"/>
            <rFont val="Arial"/>
            <family val="2"/>
          </rPr>
          <t xml:space="preserve">Only needed to build the prior-year cash flow statement's opening cash line.</t>
        </r>
      </text>
    </comment>
    <comment ref="C34" authorId="0">
      <text>
        <r>
          <rPr>
            <sz val="10"/>
            <rFont val="Arial"/>
            <family val="2"/>
          </rPr>
          <t xml:space="preserve">The PPE Register only tracks a current-year depreciation charge per asset class. This single total is used solely to recompute the PRIOR year's profit for the Statement of Changes in Equity roll-forward and the Validation Summary checks - it does not feed the PPE note itself.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0" authorId="0">
      <text>
        <r>
          <rPr>
            <sz val="10"/>
            <rFont val="Arial"/>
            <family val="2"/>
          </rPr>
          <t xml:space="preserve">SARS revises the Small Business Corporation brackets annually. This table shows the brackets applicable to financial years ending 1 April 2025 - 31 March 2026 (matching the worked example's Feb-2026 year end). Source: SARS, 'Companies, Trusts and Small Business Corporations (SBC)', sars.gov.za/tax-rates/income-tax/companies-trusts-and-small-business-corporations-sbc/. Update the Lower/Upper/Rate cells below every year.</t>
        </r>
      </text>
    </comment>
    <comment ref="B27" authorId="0">
      <text>
        <r>
          <rPr>
            <sz val="10"/>
            <rFont val="Arial"/>
            <family val="2"/>
          </rPr>
          <t xml:space="preserve">Source: SARS, 'Companies, Trusts and Small Business Corporations (SBC)', sars.gov.za/tax-rates/income-tax/companies-trusts-and-small-business-corporations-sbc/ (retrieved September 2026). 1-99,000: 0%; 99,001-365,000: 7% above 99,000; 365,001-550,000: R18,620 + 21% above 365,000; 550,001+: R57,470 + 27% above 550,000. Standard company tax rate for the same period: 27%. Use this table once you compile a financial year that falls in this SARS year of assessment.</t>
        </r>
      </text>
    </comment>
  </commentList>
</comments>
</file>

<file path=xl/sharedStrings.xml><?xml version="1.0" encoding="utf-8"?>
<sst xmlns="http://schemas.openxmlformats.org/spreadsheetml/2006/main" count="256" uniqueCount="212">
  <si>
    <t xml:space="preserve">AFS Compiler — Input Template</t>
  </si>
  <si>
    <t xml:space="preserve">Companion workbook for the IFRS for SME's Annual Financial Statements Compiler application</t>
  </si>
  <si>
    <t xml:space="preserve">HOW TO USE THIS WORKBOOK</t>
  </si>
  <si>
    <t xml:space="preserve">1. Make one COPY of this workbook per entity, per financial year (e.g. 'PauloJorgePhotography_FY2026.xlsx'). The app reads one workbook = one entity's one financial year, plus its comparative (prior year) column.</t>
  </si>
  <si>
    <t xml:space="preserve">2. Fill in every sheet with the YELLOW cells. Blue text = a cell you type into. Black text = a formula — do not overtype it.</t>
  </si>
  <si>
    <t xml:space="preserve">3. Start with 'Entity Setup' and 'Directors', then 'Trial Balance', 'PPE Register' and 'Loans to-from Shareholders', then 'Tax Computation', then 'Policy Elections'. Finish by checking 'Validation Summary' — every check should read TRUE / 0.</t>
  </si>
  <si>
    <t xml:space="preserve">4. Import this workbook into the app (Entities → Import Workbook), or point the app at the file path if running locally.</t>
  </si>
  <si>
    <t xml:space="preserve">5. Roll forward to next year: in the app, choose 'Create Next Year' for an entity — it exports a new workbook with this year's closing balances pre-filled as next year's opening balances / prior-year comparatives.</t>
  </si>
  <si>
    <t xml:space="preserve">WORKED EXAMPLE INCLUDED</t>
  </si>
  <si>
    <t xml:space="preserve">Every sheet is pre-populated with a worked example based on Paulo Jorge Photography (Pty) Ltd's FY2026 Annual Financial Statements (year ended 28 February 2026) — the sample AFS the app is being built to reproduce. A handful of immaterial (R1-R2) rounding differences in the original filing have been smoothed out so every total reconciles exactly, which makes this a clean acceptance test: load this workbook into the finished app and the generated AFS should match the structure, wording and (bar those smoothed roundings) the figures of the attached sample.</t>
  </si>
  <si>
    <t xml:space="preserve">Delete the example rows / overtype them before compiling a real entity's AFS — do not leave illustrative data in a workbook you intend to compile from.</t>
  </si>
  <si>
    <t xml:space="preserve">SHEET GUIDE</t>
  </si>
  <si>
    <t xml:space="preserve">• Entity Setup — company registration details, addresses, practitioner, reporting basis, dates.</t>
  </si>
  <si>
    <t xml:space="preserve">• Directors — one row per director; used for the Director's Report and signature block.</t>
  </si>
  <si>
    <t xml:space="preserve">• Trial Balance — revenue, cost of sales, operating expenses, investment revenue, finance costs, cash, share capital, trade receivables/payables. Depreciation is NOT entered here — it comes from the PPE Register.</t>
  </si>
  <si>
    <t xml:space="preserve">• PPE Register — one row per asset class; drives the Property, Plant and Equipment note and the depreciation charge that flows into the income statement and cash flow statement.</t>
  </si>
  <si>
    <t xml:space="preserve">• Loans to-from Shareholders — one row per director/shareholder loan account; drives the loan note and the related cash flow movement.</t>
  </si>
  <si>
    <t xml:space="preserve">• Tax Computation — temporary/permanent differences, assessed losses, and an editable tax bracket table (SBC or standard company rate) so the app can compute the current tax charge / tax computation schedule.</t>
  </si>
  <si>
    <t xml:space="preserve">• Policy Elections — tick which IFRS for SME's accounting policy sections are applicable, so the app only prints the policies (and matching notes) that are relevant to this entity.</t>
  </si>
  <si>
    <t xml:space="preserve">• Validation Summary — read-only cross-checks (formulas only). Everything must tie out before you import.</t>
  </si>
  <si>
    <t xml:space="preserve">A NOTE ON TAX RATES</t>
  </si>
  <si>
    <t xml:space="preserve">The Small Business Corporation (SBC) tax bracket table on the 'Tax Computation' sheet must be updated for each year of assessment — SARS revises the brackets annually. The worked example uses the brackets applicable to financial years ending 1 April 2025 – 31 March 2026 (matching the sample entity's Feb-2026 year end). A second, more recent bracket table (financial years ending 1 April 2026 – 31 March 2027) is shown alongside it for reference — see the comment on that table for the source.</t>
  </si>
  <si>
    <t xml:space="preserve">Entity Setup</t>
  </si>
  <si>
    <t xml:space="preserve">One workbook = one entity, one financial year. Yellow = fill in.</t>
  </si>
  <si>
    <t xml:space="preserve">COMPANY DETAILS</t>
  </si>
  <si>
    <t xml:space="preserve">Company Name</t>
  </si>
  <si>
    <t xml:space="preserve">Paulo Jorge Photography (Pty) Ltd</t>
  </si>
  <si>
    <t xml:space="preserve">Registration Number</t>
  </si>
  <si>
    <t xml:space="preserve">2013/093560/07</t>
  </si>
  <si>
    <t xml:space="preserve">Tax Reference Number</t>
  </si>
  <si>
    <t xml:space="preserve">9495401177</t>
  </si>
  <si>
    <t xml:space="preserve">VAT Number (if registered)</t>
  </si>
  <si>
    <t xml:space="preserve">Country of Incorporation and Domicile</t>
  </si>
  <si>
    <t xml:space="preserve">South Africa</t>
  </si>
  <si>
    <t xml:space="preserve">Nature of Business and Principal Activities</t>
  </si>
  <si>
    <t xml:space="preserve">Photography</t>
  </si>
  <si>
    <t xml:space="preserve">Registered Office Address</t>
  </si>
  <si>
    <t xml:space="preserve">17 Kiepersol Crescent, Highlands Estate, Olympus, Pretoria, 0081</t>
  </si>
  <si>
    <t xml:space="preserve">Business Address</t>
  </si>
  <si>
    <t xml:space="preserve">Postal Address</t>
  </si>
  <si>
    <t xml:space="preserve">Bankers</t>
  </si>
  <si>
    <t xml:space="preserve">First National Bank</t>
  </si>
  <si>
    <t xml:space="preserve">PRACTITIONER / COMPILER</t>
  </si>
  <si>
    <t xml:space="preserve">Practitioner Name</t>
  </si>
  <si>
    <t xml:space="preserve">Natasha Hope</t>
  </si>
  <si>
    <t xml:space="preserve">Practitioner Firm</t>
  </si>
  <si>
    <t xml:space="preserve">Tidy Books Accounting CC</t>
  </si>
  <si>
    <t xml:space="preserve">Report Type</t>
  </si>
  <si>
    <t xml:space="preserve">Compilation Report</t>
  </si>
  <si>
    <t xml:space="preserve">REPORTING BASIS</t>
  </si>
  <si>
    <t xml:space="preserve">Financial Year End (current year)</t>
  </si>
  <si>
    <t xml:space="preserve">Financial Year End (prior/comparative year)</t>
  </si>
  <si>
    <t xml:space="preserve">Date Annual Financial Statements Approved</t>
  </si>
  <si>
    <t xml:space="preserve">IFRS for SME's Edition Applied</t>
  </si>
  <si>
    <t xml:space="preserve">Second Edition (2015)</t>
  </si>
  <si>
    <t xml:space="preserve">Company Qualifies as a Small Business Corporation (SBC) for tax</t>
  </si>
  <si>
    <t xml:space="preserve">Yes</t>
  </si>
  <si>
    <t xml:space="preserve">OPENING BALANCES (start of the COMPARATIVE/prior year - needed for the 3-row Statement of Changes in Equity)</t>
  </si>
  <si>
    <t xml:space="preserve">Retained Income - Opening Balance (start of prior year)</t>
  </si>
  <si>
    <t xml:space="preserve">Share Capital - Opening Balance (start of prior year)</t>
  </si>
  <si>
    <t xml:space="preserve">Cash and Cash Equivalents - Opening Balance (start of prior year)</t>
  </si>
  <si>
    <t xml:space="preserve">PRIOR YEAR SUPPLEMENTARY FIGURE (validation only)</t>
  </si>
  <si>
    <t xml:space="preserve">Prior Year Depreciation Charge (total, all asset classes)</t>
  </si>
  <si>
    <t xml:space="preserve">Directors</t>
  </si>
  <si>
    <t xml:space="preserve">One row per director. Used for the Director's Report and the approval/signature block.</t>
  </si>
  <si>
    <t xml:space="preserve">Full Name</t>
  </si>
  <si>
    <t xml:space="preserve">Nationality</t>
  </si>
  <si>
    <t xml:space="preserve">Date Appointed</t>
  </si>
  <si>
    <t xml:space="preserve">Date Resigned (if any)</t>
  </si>
  <si>
    <t xml:space="preserve">Signs Approval? (Y/N)</t>
  </si>
  <si>
    <t xml:space="preserve">Notes</t>
  </si>
  <si>
    <t xml:space="preserve">Paulo Jorge Nunes Goncalves</t>
  </si>
  <si>
    <t xml:space="preserve">South African</t>
  </si>
  <si>
    <t xml:space="preserve">Y</t>
  </si>
  <si>
    <t xml:space="preserve">Trial Balance</t>
  </si>
  <si>
    <t xml:space="preserve">Revenue, cost of sales, operating expenses, investment revenue/finance costs, cash, share capital, receivables/payables. Depreciation is NOT entered here (see PPE Register).</t>
  </si>
  <si>
    <t xml:space="preserve">Account Name</t>
  </si>
  <si>
    <t xml:space="preserve">AFS Category</t>
  </si>
  <si>
    <t xml:space="preserve">Current Year Amount</t>
  </si>
  <si>
    <t xml:space="preserve">Prior Year Amount</t>
  </si>
  <si>
    <t xml:space="preserve">Rendering of services</t>
  </si>
  <si>
    <t xml:space="preserve">Revenue</t>
  </si>
  <si>
    <t xml:space="preserve">Purchases</t>
  </si>
  <si>
    <t xml:space="preserve">Cost of Sales</t>
  </si>
  <si>
    <t xml:space="preserve">Accounting fees</t>
  </si>
  <si>
    <t xml:space="preserve">Operating Expense</t>
  </si>
  <si>
    <t xml:space="preserve">Advertising</t>
  </si>
  <si>
    <t xml:space="preserve">Bank charges</t>
  </si>
  <si>
    <t xml:space="preserve">Consumables</t>
  </si>
  <si>
    <t xml:space="preserve">Employee costs</t>
  </si>
  <si>
    <t xml:space="preserve">Entertainment</t>
  </si>
  <si>
    <t xml:space="preserve">IT expenses</t>
  </si>
  <si>
    <t xml:space="preserve">Levies</t>
  </si>
  <si>
    <t xml:space="preserve">Motor vehicle expenses</t>
  </si>
  <si>
    <t xml:space="preserve">Petrol and oil</t>
  </si>
  <si>
    <t xml:space="preserve">Repairs and maintenance</t>
  </si>
  <si>
    <t xml:space="preserve">Subscriptions</t>
  </si>
  <si>
    <t xml:space="preserve">Telephone and fax</t>
  </si>
  <si>
    <t xml:space="preserve">Utilities</t>
  </si>
  <si>
    <t xml:space="preserve">Interest received - loans to directors/managers/employees</t>
  </si>
  <si>
    <t xml:space="preserve">Investment Revenue</t>
  </si>
  <si>
    <t xml:space="preserve">Finance costs</t>
  </si>
  <si>
    <t xml:space="preserve">Finance Costs</t>
  </si>
  <si>
    <t xml:space="preserve">Cash and cash equivalents</t>
  </si>
  <si>
    <t xml:space="preserve">Cash and Cash Equivalents</t>
  </si>
  <si>
    <t xml:space="preserve">Share capital</t>
  </si>
  <si>
    <t xml:space="preserve">Share Capital</t>
  </si>
  <si>
    <t xml:space="preserve">Ordinary shares, unchanged during both years</t>
  </si>
  <si>
    <t xml:space="preserve">CATEGORY SUBTOTALS (formulas - do not edit)</t>
  </si>
  <si>
    <t xml:space="preserve">Current Year</t>
  </si>
  <si>
    <t xml:space="preserve">Prior Year</t>
  </si>
  <si>
    <t xml:space="preserve">Other Income</t>
  </si>
  <si>
    <t xml:space="preserve">Trade and Other Receivables</t>
  </si>
  <si>
    <t xml:space="preserve">Inventory</t>
  </si>
  <si>
    <t xml:space="preserve">Trade and Other Payables</t>
  </si>
  <si>
    <t xml:space="preserve">Current Tax Payable</t>
  </si>
  <si>
    <t xml:space="preserve">Other Current Asset</t>
  </si>
  <si>
    <t xml:space="preserve">Other Current Liability</t>
  </si>
  <si>
    <t xml:space="preserve">Other Non-Current Liability</t>
  </si>
  <si>
    <t xml:space="preserve">PPE Register</t>
  </si>
  <si>
    <t xml:space="preserve">One row per asset class. Drives the Property, Plant and Equipment note, the depreciation charge, and the cash flow 'Purchase of PPE' line.</t>
  </si>
  <si>
    <t xml:space="preserve">Asset Category</t>
  </si>
  <si>
    <t xml:space="preserve">Depreciation Method</t>
  </si>
  <si>
    <t xml:space="preserve">Useful Life (yrs)</t>
  </si>
  <si>
    <t xml:space="preserve">Opening Cost</t>
  </si>
  <si>
    <t xml:space="preserve">Additions</t>
  </si>
  <si>
    <t xml:space="preserve">Disposals - Cost</t>
  </si>
  <si>
    <t xml:space="preserve">Closing Cost</t>
  </si>
  <si>
    <t xml:space="preserve">Opening Accum. Depreciation</t>
  </si>
  <si>
    <t xml:space="preserve">Depreciation Charge</t>
  </si>
  <si>
    <t xml:space="preserve">Accum. Depreciation on Disposals</t>
  </si>
  <si>
    <t xml:space="preserve">Closing Accum. Depreciation</t>
  </si>
  <si>
    <t xml:space="preserve">Carrying Value</t>
  </si>
  <si>
    <t xml:space="preserve">Office equipment</t>
  </si>
  <si>
    <t xml:space="preserve">Straight line</t>
  </si>
  <si>
    <t xml:space="preserve">IT equipment</t>
  </si>
  <si>
    <t xml:space="preserve">Total</t>
  </si>
  <si>
    <t xml:space="preserve">Loans to-from Shareholders</t>
  </si>
  <si>
    <t xml:space="preserve">One row per director/shareholder loan account. Drives the loan note and the related cash flow movement.</t>
  </si>
  <si>
    <t xml:space="preserve">Shareholder / Director Name</t>
  </si>
  <si>
    <t xml:space="preserve">Direction
(To / From)</t>
  </si>
  <si>
    <t xml:space="preserve">Opening Balance</t>
  </si>
  <si>
    <t xml:space="preserve">Advances</t>
  </si>
  <si>
    <t xml:space="preserve">Repayments</t>
  </si>
  <si>
    <t xml:space="preserve">Interest Rate % p.a.</t>
  </si>
  <si>
    <t xml:space="preserve">Interest Charged
(received in cash)</t>
  </si>
  <si>
    <t xml:space="preserve">Closing Balance</t>
  </si>
  <si>
    <t xml:space="preserve">Secured / Unsecured</t>
  </si>
  <si>
    <t xml:space="preserve">Repayment Terms</t>
  </si>
  <si>
    <t xml:space="preserve">To</t>
  </si>
  <si>
    <t xml:space="preserve">Unsecured</t>
  </si>
  <si>
    <t xml:space="preserve">No fixed terms of repayment have been set</t>
  </si>
  <si>
    <t xml:space="preserve">Tax Computation</t>
  </si>
  <si>
    <t xml:space="preserve">Current-tax computation for the year, plus the editable SBC / company tax bracket table the app uses to calculate the tax charge.</t>
  </si>
  <si>
    <t xml:space="preserve">Net profit per income statement</t>
  </si>
  <si>
    <t xml:space="preserve">Temporary differences</t>
  </si>
  <si>
    <t xml:space="preserve">Description</t>
  </si>
  <si>
    <t xml:space="preserve">Amount</t>
  </si>
  <si>
    <t xml:space="preserve">Plant and machinery where company qualifies as SBC: s12E wear-and-tear</t>
  </si>
  <si>
    <t xml:space="preserve">Depreciation according to the financial statements</t>
  </si>
  <si>
    <t xml:space="preserve">Total temporary differences</t>
  </si>
  <si>
    <t xml:space="preserve">Calculated tax profit for the year</t>
  </si>
  <si>
    <t xml:space="preserve">Assessed loss brought forward</t>
  </si>
  <si>
    <t xml:space="preserve">Assessed loss utilised</t>
  </si>
  <si>
    <t xml:space="preserve">Taxable income for the year</t>
  </si>
  <si>
    <t xml:space="preserve">Assessed loss carried forward</t>
  </si>
  <si>
    <t xml:space="preserve">SBC / Company tax bracket table - EDIT FOR THE APPLICABLE YEAR OF ASSESSMENT</t>
  </si>
  <si>
    <t xml:space="preserve">Lower Limit</t>
  </si>
  <si>
    <t xml:space="preserve">Upper Limit</t>
  </si>
  <si>
    <t xml:space="preserve">Rate</t>
  </si>
  <si>
    <t xml:space="preserve">N/A</t>
  </si>
  <si>
    <t xml:space="preserve">Reference only - SBC brackets for financial years ending 1 April 2026 - 31 March 2027</t>
  </si>
  <si>
    <t xml:space="preserve">Tax thereon @ rate determined in the table above</t>
  </si>
  <si>
    <t xml:space="preserve">Policy Elections</t>
  </si>
  <si>
    <t xml:space="preserve">Tick which IFRS for SME's accounting policy sections apply, so the app only prints the policies (and matching notes) relevant to this entity.</t>
  </si>
  <si>
    <t xml:space="preserve">Accounting Policy Area (IFRS for SME's Section)</t>
  </si>
  <si>
    <t xml:space="preserve">Applicable? (Y/N)</t>
  </si>
  <si>
    <t xml:space="preserve">Property, plant and equipment (Section 17)</t>
  </si>
  <si>
    <t xml:space="preserve">Straight-line depreciation per the PPE Register</t>
  </si>
  <si>
    <t xml:space="preserve">Financial instruments (Sections 11 &amp; 12)</t>
  </si>
  <si>
    <t xml:space="preserve">Loans, cash, trade receivables/payables at amortised cost</t>
  </si>
  <si>
    <t xml:space="preserve">Income tax, current and deferred (Section 29)</t>
  </si>
  <si>
    <t xml:space="preserve">Employee benefits, short-term (Section 28)</t>
  </si>
  <si>
    <t xml:space="preserve">Revenue (Section 23)</t>
  </si>
  <si>
    <t xml:space="preserve">Rendering of services - stage of completion</t>
  </si>
  <si>
    <t xml:space="preserve">Inventories (Section 13)</t>
  </si>
  <si>
    <t xml:space="preserve">N</t>
  </si>
  <si>
    <t xml:space="preserve">Set to Y if the entity holds inventory</t>
  </si>
  <si>
    <t xml:space="preserve">Leases (Section 20)</t>
  </si>
  <si>
    <t xml:space="preserve">Provisions and contingencies (Section 21)</t>
  </si>
  <si>
    <t xml:space="preserve">Related party disclosures (Section 33)</t>
  </si>
  <si>
    <t xml:space="preserve">Director/shareholder loan account</t>
  </si>
  <si>
    <t xml:space="preserve">Impairment of assets (Section 27)</t>
  </si>
  <si>
    <t xml:space="preserve">Foreign currency translation (Section 30)</t>
  </si>
  <si>
    <t xml:space="preserve">Government grants (Section 24)</t>
  </si>
  <si>
    <t xml:space="preserve">Borrowing costs (Section 25)</t>
  </si>
  <si>
    <t xml:space="preserve">Statement of cash flows (Section 7)</t>
  </si>
  <si>
    <t xml:space="preserve">Indirect/direct method as applicable</t>
  </si>
  <si>
    <t xml:space="preserve">Validation Summary</t>
  </si>
  <si>
    <t xml:space="preserve">Read-only cross-checks. Every 'Difference' cell must read 0 before you import this workbook into the app.</t>
  </si>
  <si>
    <t xml:space="preserve">Check</t>
  </si>
  <si>
    <t xml:space="preserve">Total Assets</t>
  </si>
  <si>
    <t xml:space="preserve">Total Equity + Liabilities</t>
  </si>
  <si>
    <t xml:space="preserve">Difference</t>
  </si>
  <si>
    <t xml:space="preserve">Total Assets = Total Equity + Liabilities (current year)</t>
  </si>
  <si>
    <t xml:space="preserve">Computed A</t>
  </si>
  <si>
    <t xml:space="preserve">Computed B</t>
  </si>
  <si>
    <t xml:space="preserve">Cash Flow computed closing cash vs Statement of Financial Position cash</t>
  </si>
  <si>
    <t xml:space="preserve">PPE Register total carrying value vs its own cost-less-depreciation total</t>
  </si>
  <si>
    <t xml:space="preserve">Loans Register closing balance vs Opening + Advances - Repayments</t>
  </si>
  <si>
    <t xml:space="preserve">Retained income roll-forward: prior-year closing vs current-year opening</t>
  </si>
  <si>
    <t xml:space="preserve">All 'Difference' columns above must equal 0 (formatted as '-'). A non-zero difference means an input sheet is inconsistent - fix it before importing.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</si>
</sst>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\ mmm\ yyyy"/>
    <numFmt numFmtId="166" formatCode="#,##0;\(#,##0\);\-"/>
    <numFmt numFmtId="167" formatCode="0.00%;\(0.00%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80808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0"/>
      <color rgb="FFFFFFFF"/>
      <name val="Arial"/>
      <family val="0"/>
      <charset val="1"/>
    </font>
    <font>
      <sz val="9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DE7"/>
        <bgColor rgb="FFFFFFFF"/>
      </patternFill>
    </fill>
    <fill>
      <patternFill patternType="solid">
        <fgColor rgb="FF1F3864"/>
        <bgColor rgb="FF333333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double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DE7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0"/>
  </cols>
  <sheetData>
    <row r="1" customFormat="false" ht="21.7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true" outlineLevel="0" collapsed="false">
      <c r="B3" s="3"/>
    </row>
    <row r="4" customFormat="false" ht="15" hidden="false" customHeight="true" outlineLevel="0" collapsed="false">
      <c r="B4" s="4" t="s">
        <v>2</v>
      </c>
    </row>
    <row r="5" customFormat="false" ht="30" hidden="false" customHeight="true" outlineLevel="0" collapsed="false">
      <c r="B5" s="3" t="s">
        <v>3</v>
      </c>
    </row>
    <row r="6" customFormat="false" ht="30" hidden="false" customHeight="true" outlineLevel="0" collapsed="false">
      <c r="B6" s="3" t="s">
        <v>4</v>
      </c>
    </row>
    <row r="7" customFormat="false" ht="30" hidden="false" customHeight="true" outlineLevel="0" collapsed="false">
      <c r="B7" s="3" t="s">
        <v>5</v>
      </c>
    </row>
    <row r="8" customFormat="false" ht="30" hidden="false" customHeight="true" outlineLevel="0" collapsed="false">
      <c r="B8" s="3" t="s">
        <v>6</v>
      </c>
    </row>
    <row r="9" customFormat="false" ht="30" hidden="false" customHeight="true" outlineLevel="0" collapsed="false">
      <c r="B9" s="3" t="s">
        <v>7</v>
      </c>
    </row>
    <row r="10" customFormat="false" ht="15" hidden="false" customHeight="true" outlineLevel="0" collapsed="false">
      <c r="B10" s="3"/>
    </row>
    <row r="11" customFormat="false" ht="15" hidden="false" customHeight="true" outlineLevel="0" collapsed="false">
      <c r="B11" s="4" t="s">
        <v>8</v>
      </c>
    </row>
    <row r="12" customFormat="false" ht="30" hidden="false" customHeight="true" outlineLevel="0" collapsed="false">
      <c r="B12" s="3" t="s">
        <v>9</v>
      </c>
    </row>
    <row r="13" customFormat="false" ht="30" hidden="false" customHeight="true" outlineLevel="0" collapsed="false">
      <c r="B13" s="3" t="s">
        <v>10</v>
      </c>
    </row>
    <row r="14" customFormat="false" ht="15" hidden="false" customHeight="true" outlineLevel="0" collapsed="false">
      <c r="B14" s="3"/>
    </row>
    <row r="15" customFormat="false" ht="15" hidden="false" customHeight="true" outlineLevel="0" collapsed="false">
      <c r="B15" s="4" t="s">
        <v>11</v>
      </c>
    </row>
    <row r="16" customFormat="false" ht="30" hidden="false" customHeight="true" outlineLevel="0" collapsed="false">
      <c r="B16" s="3" t="s">
        <v>12</v>
      </c>
    </row>
    <row r="17" customFormat="false" ht="15" hidden="false" customHeight="true" outlineLevel="0" collapsed="false">
      <c r="B17" s="3" t="s">
        <v>13</v>
      </c>
    </row>
    <row r="18" customFormat="false" ht="30" hidden="false" customHeight="true" outlineLevel="0" collapsed="false">
      <c r="B18" s="3" t="s">
        <v>14</v>
      </c>
    </row>
    <row r="19" customFormat="false" ht="30" hidden="false" customHeight="true" outlineLevel="0" collapsed="false">
      <c r="B19" s="3" t="s">
        <v>15</v>
      </c>
    </row>
    <row r="20" customFormat="false" ht="30" hidden="false" customHeight="true" outlineLevel="0" collapsed="false">
      <c r="B20" s="3" t="s">
        <v>16</v>
      </c>
    </row>
    <row r="21" customFormat="false" ht="30" hidden="false" customHeight="true" outlineLevel="0" collapsed="false">
      <c r="B21" s="3" t="s">
        <v>17</v>
      </c>
    </row>
    <row r="22" customFormat="false" ht="30" hidden="false" customHeight="true" outlineLevel="0" collapsed="false">
      <c r="B22" s="3" t="s">
        <v>18</v>
      </c>
    </row>
    <row r="23" customFormat="false" ht="30" hidden="false" customHeight="true" outlineLevel="0" collapsed="false">
      <c r="B23" s="3" t="s">
        <v>19</v>
      </c>
    </row>
    <row r="24" customFormat="false" ht="15" hidden="false" customHeight="true" outlineLevel="0" collapsed="false">
      <c r="B24" s="3"/>
    </row>
    <row r="25" customFormat="false" ht="15" hidden="false" customHeight="true" outlineLevel="0" collapsed="false">
      <c r="B25" s="4" t="s">
        <v>20</v>
      </c>
    </row>
    <row r="26" customFormat="false" ht="30" hidden="false" customHeight="true" outlineLevel="0" collapsed="false">
      <c r="B26" s="3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4" min="3" style="0" width="45"/>
  </cols>
  <sheetData>
    <row r="1" customFormat="false" ht="21.75" hidden="false" customHeight="true" outlineLevel="0" collapsed="false">
      <c r="A1" s="1" t="s">
        <v>22</v>
      </c>
    </row>
    <row r="2" customFormat="false" ht="15" hidden="false" customHeight="false" outlineLevel="0" collapsed="false">
      <c r="A2" s="2" t="s">
        <v>23</v>
      </c>
    </row>
    <row r="4" customFormat="false" ht="15" hidden="false" customHeight="false" outlineLevel="0" collapsed="false">
      <c r="B4" s="5" t="s">
        <v>24</v>
      </c>
    </row>
    <row r="5" customFormat="false" ht="15" hidden="false" customHeight="false" outlineLevel="0" collapsed="false">
      <c r="B5" s="6" t="s">
        <v>25</v>
      </c>
      <c r="C5" s="7" t="s">
        <v>26</v>
      </c>
    </row>
    <row r="6" customFormat="false" ht="15" hidden="false" customHeight="false" outlineLevel="0" collapsed="false">
      <c r="B6" s="6" t="s">
        <v>27</v>
      </c>
      <c r="C6" s="7" t="s">
        <v>28</v>
      </c>
    </row>
    <row r="7" customFormat="false" ht="15" hidden="false" customHeight="false" outlineLevel="0" collapsed="false">
      <c r="B7" s="6" t="s">
        <v>29</v>
      </c>
      <c r="C7" s="7" t="s">
        <v>30</v>
      </c>
    </row>
    <row r="8" customFormat="false" ht="15" hidden="false" customHeight="false" outlineLevel="0" collapsed="false">
      <c r="B8" s="6" t="s">
        <v>31</v>
      </c>
      <c r="C8" s="7"/>
    </row>
    <row r="9" customFormat="false" ht="15" hidden="false" customHeight="false" outlineLevel="0" collapsed="false">
      <c r="B9" s="6" t="s">
        <v>32</v>
      </c>
      <c r="C9" s="7" t="s">
        <v>33</v>
      </c>
    </row>
    <row r="10" customFormat="false" ht="15" hidden="false" customHeight="false" outlineLevel="0" collapsed="false">
      <c r="B10" s="6" t="s">
        <v>34</v>
      </c>
      <c r="C10" s="7" t="s">
        <v>35</v>
      </c>
    </row>
    <row r="11" customFormat="false" ht="15" hidden="false" customHeight="false" outlineLevel="0" collapsed="false">
      <c r="B11" s="6" t="s">
        <v>36</v>
      </c>
      <c r="C11" s="7" t="s">
        <v>37</v>
      </c>
    </row>
    <row r="12" customFormat="false" ht="15" hidden="false" customHeight="false" outlineLevel="0" collapsed="false">
      <c r="B12" s="6" t="s">
        <v>38</v>
      </c>
      <c r="C12" s="7" t="s">
        <v>37</v>
      </c>
    </row>
    <row r="13" customFormat="false" ht="15" hidden="false" customHeight="false" outlineLevel="0" collapsed="false">
      <c r="B13" s="6" t="s">
        <v>39</v>
      </c>
      <c r="C13" s="7" t="s">
        <v>37</v>
      </c>
    </row>
    <row r="14" customFormat="false" ht="15" hidden="false" customHeight="false" outlineLevel="0" collapsed="false">
      <c r="B14" s="6" t="s">
        <v>40</v>
      </c>
      <c r="C14" s="7" t="s">
        <v>41</v>
      </c>
    </row>
    <row r="16" customFormat="false" ht="15" hidden="false" customHeight="false" outlineLevel="0" collapsed="false">
      <c r="B16" s="5" t="s">
        <v>42</v>
      </c>
    </row>
    <row r="17" customFormat="false" ht="15" hidden="false" customHeight="false" outlineLevel="0" collapsed="false">
      <c r="B17" s="6" t="s">
        <v>43</v>
      </c>
      <c r="C17" s="7" t="s">
        <v>44</v>
      </c>
    </row>
    <row r="18" customFormat="false" ht="15" hidden="false" customHeight="false" outlineLevel="0" collapsed="false">
      <c r="B18" s="6" t="s">
        <v>45</v>
      </c>
      <c r="C18" s="7" t="s">
        <v>46</v>
      </c>
    </row>
    <row r="19" customFormat="false" ht="15" hidden="false" customHeight="false" outlineLevel="0" collapsed="false">
      <c r="B19" s="6" t="s">
        <v>47</v>
      </c>
      <c r="C19" s="7" t="s">
        <v>48</v>
      </c>
    </row>
    <row r="21" customFormat="false" ht="15" hidden="false" customHeight="false" outlineLevel="0" collapsed="false">
      <c r="B21" s="5" t="s">
        <v>49</v>
      </c>
    </row>
    <row r="22" customFormat="false" ht="15" hidden="false" customHeight="false" outlineLevel="0" collapsed="false">
      <c r="B22" s="6" t="s">
        <v>50</v>
      </c>
      <c r="C22" s="8" t="n">
        <v>46081</v>
      </c>
    </row>
    <row r="23" customFormat="false" ht="15" hidden="false" customHeight="false" outlineLevel="0" collapsed="false">
      <c r="B23" s="6" t="s">
        <v>51</v>
      </c>
      <c r="C23" s="8" t="n">
        <v>45716</v>
      </c>
    </row>
    <row r="24" customFormat="false" ht="15" hidden="false" customHeight="false" outlineLevel="0" collapsed="false">
      <c r="B24" s="6" t="s">
        <v>52</v>
      </c>
      <c r="C24" s="8" t="n">
        <v>46295</v>
      </c>
    </row>
    <row r="25" customFormat="false" ht="15" hidden="false" customHeight="false" outlineLevel="0" collapsed="false">
      <c r="B25" s="6" t="s">
        <v>53</v>
      </c>
      <c r="C25" s="7" t="s">
        <v>54</v>
      </c>
    </row>
    <row r="26" customFormat="false" ht="15" hidden="false" customHeight="false" outlineLevel="0" collapsed="false">
      <c r="B26" s="6" t="s">
        <v>55</v>
      </c>
      <c r="C26" s="7" t="s">
        <v>56</v>
      </c>
    </row>
    <row r="28" customFormat="false" ht="52.2" hidden="false" customHeight="false" outlineLevel="0" collapsed="false">
      <c r="B28" s="9" t="s">
        <v>57</v>
      </c>
    </row>
    <row r="29" customFormat="false" ht="15" hidden="false" customHeight="false" outlineLevel="0" collapsed="false">
      <c r="B29" s="6" t="s">
        <v>58</v>
      </c>
      <c r="C29" s="10" t="n">
        <v>138178</v>
      </c>
    </row>
    <row r="30" customFormat="false" ht="15" hidden="false" customHeight="false" outlineLevel="0" collapsed="false">
      <c r="B30" s="6" t="s">
        <v>59</v>
      </c>
      <c r="C30" s="10" t="n">
        <v>1000</v>
      </c>
    </row>
    <row r="31" customFormat="false" ht="15" hidden="false" customHeight="false" outlineLevel="0" collapsed="false">
      <c r="B31" s="6" t="s">
        <v>60</v>
      </c>
      <c r="C31" s="10" t="n">
        <v>489</v>
      </c>
    </row>
    <row r="33" customFormat="false" ht="15" hidden="false" customHeight="false" outlineLevel="0" collapsed="false">
      <c r="B33" s="5" t="s">
        <v>61</v>
      </c>
    </row>
    <row r="34" customFormat="false" ht="15" hidden="false" customHeight="false" outlineLevel="0" collapsed="false">
      <c r="B34" s="6" t="s">
        <v>62</v>
      </c>
      <c r="C34" s="10" t="n">
        <v>2079</v>
      </c>
    </row>
  </sheetData>
  <dataValidations count="3">
    <dataValidation allowBlank="true" errorStyle="stop" operator="between" showDropDown="false" showErrorMessage="false" showInputMessage="false" sqref="C19" type="list">
      <formula1>"Compilation Report,Independent Review Report,Audit Report"</formula1>
      <formula2>0</formula2>
    </dataValidation>
    <dataValidation allowBlank="true" errorStyle="stop" operator="between" showDropDown="false" showErrorMessage="false" showInputMessage="false" sqref="C25" type="list">
      <formula1>"Second Edition (2015),Third Edition (2025) - early adopted"</formula1>
      <formula2>0</formula2>
    </dataValidation>
    <dataValidation allowBlank="true" errorStyle="stop" operator="between" showDropDown="false" showErrorMessage="false" showInputMessage="false" sqref="C26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5" min="4" style="0" width="16"/>
    <col collapsed="false" customWidth="true" hidden="false" outlineLevel="0" max="6" min="6" style="0" width="14"/>
    <col collapsed="false" customWidth="true" hidden="false" outlineLevel="0" max="7" min="7" style="0" width="40"/>
  </cols>
  <sheetData>
    <row r="1" customFormat="false" ht="21.75" hidden="false" customHeight="true" outlineLevel="0" collapsed="false">
      <c r="A1" s="1" t="s">
        <v>63</v>
      </c>
    </row>
    <row r="2" customFormat="false" ht="15" hidden="false" customHeight="false" outlineLevel="0" collapsed="false">
      <c r="A2" s="2" t="s">
        <v>64</v>
      </c>
    </row>
    <row r="4" customFormat="false" ht="27.75" hidden="false" customHeight="true" outlineLevel="0" collapsed="false">
      <c r="B4" s="11" t="s">
        <v>65</v>
      </c>
      <c r="C4" s="11" t="s">
        <v>66</v>
      </c>
      <c r="D4" s="11" t="s">
        <v>67</v>
      </c>
      <c r="E4" s="11" t="s">
        <v>68</v>
      </c>
      <c r="F4" s="11" t="s">
        <v>69</v>
      </c>
      <c r="G4" s="11" t="s">
        <v>70</v>
      </c>
    </row>
    <row r="5" customFormat="false" ht="15" hidden="false" customHeight="false" outlineLevel="0" collapsed="false">
      <c r="B5" s="7" t="s">
        <v>71</v>
      </c>
      <c r="C5" s="7" t="s">
        <v>72</v>
      </c>
      <c r="D5" s="8" t="n">
        <v>41431</v>
      </c>
      <c r="E5" s="8"/>
      <c r="F5" s="7" t="s">
        <v>73</v>
      </c>
      <c r="G5" s="7"/>
    </row>
    <row r="6" customFormat="false" ht="15" hidden="false" customHeight="false" outlineLevel="0" collapsed="false">
      <c r="B6" s="12"/>
      <c r="C6" s="12"/>
      <c r="D6" s="12"/>
      <c r="E6" s="12"/>
      <c r="F6" s="12"/>
      <c r="G6" s="12"/>
    </row>
    <row r="7" customFormat="false" ht="15" hidden="false" customHeight="false" outlineLevel="0" collapsed="false">
      <c r="B7" s="12"/>
      <c r="C7" s="12"/>
      <c r="D7" s="12"/>
      <c r="E7" s="12"/>
      <c r="F7" s="12"/>
      <c r="G7" s="12"/>
    </row>
    <row r="8" customFormat="false" ht="15" hidden="false" customHeight="false" outlineLevel="0" collapsed="false">
      <c r="B8" s="12"/>
      <c r="C8" s="12"/>
      <c r="D8" s="12"/>
      <c r="E8" s="12"/>
      <c r="F8" s="12"/>
      <c r="G8" s="12"/>
    </row>
    <row r="9" customFormat="false" ht="15" hidden="false" customHeight="false" outlineLevel="0" collapsed="false">
      <c r="B9" s="12"/>
      <c r="C9" s="12"/>
      <c r="D9" s="12"/>
      <c r="E9" s="12"/>
      <c r="F9" s="12"/>
      <c r="G9" s="12"/>
    </row>
    <row r="10" customFormat="false" ht="15" hidden="false" customHeight="false" outlineLevel="0" collapsed="false">
      <c r="B10" s="12"/>
      <c r="C10" s="12"/>
      <c r="D10" s="12"/>
      <c r="E10" s="12"/>
      <c r="F10" s="12"/>
      <c r="G10" s="12"/>
    </row>
  </sheetData>
  <dataValidations count="1">
    <dataValidation allowBlank="true" errorStyle="stop" operator="between" showDropDown="false" showErrorMessage="false" showInputMessage="false" sqref="F5:F10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24"/>
    <col collapsed="false" customWidth="true" hidden="false" outlineLevel="0" max="5" min="4" style="0" width="16"/>
    <col collapsed="false" customWidth="true" hidden="false" outlineLevel="0" max="6" min="6" style="0" width="30"/>
  </cols>
  <sheetData>
    <row r="1" customFormat="false" ht="21.75" hidden="false" customHeight="true" outlineLevel="0" collapsed="false">
      <c r="A1" s="1" t="s">
        <v>74</v>
      </c>
    </row>
    <row r="2" customFormat="false" ht="15" hidden="false" customHeight="false" outlineLevel="0" collapsed="false">
      <c r="A2" s="2" t="s">
        <v>75</v>
      </c>
    </row>
    <row r="4" customFormat="false" ht="27.75" hidden="false" customHeight="true" outlineLevel="0" collapsed="false">
      <c r="B4" s="11" t="s">
        <v>76</v>
      </c>
      <c r="C4" s="11" t="s">
        <v>77</v>
      </c>
      <c r="D4" s="11" t="s">
        <v>78</v>
      </c>
      <c r="E4" s="11" t="s">
        <v>79</v>
      </c>
      <c r="F4" s="11" t="s">
        <v>70</v>
      </c>
    </row>
    <row r="5" customFormat="false" ht="15" hidden="false" customHeight="false" outlineLevel="0" collapsed="false">
      <c r="B5" s="7" t="s">
        <v>80</v>
      </c>
      <c r="C5" s="7" t="s">
        <v>81</v>
      </c>
      <c r="D5" s="10" t="n">
        <v>96423</v>
      </c>
      <c r="E5" s="10" t="n">
        <v>41899</v>
      </c>
      <c r="F5" s="13"/>
    </row>
    <row r="6" customFormat="false" ht="15" hidden="false" customHeight="false" outlineLevel="0" collapsed="false">
      <c r="B6" s="7" t="s">
        <v>82</v>
      </c>
      <c r="C6" s="7" t="s">
        <v>83</v>
      </c>
      <c r="D6" s="10" t="n">
        <v>8122</v>
      </c>
      <c r="E6" s="10" t="n">
        <v>12892</v>
      </c>
      <c r="F6" s="13"/>
    </row>
    <row r="7" customFormat="false" ht="15" hidden="false" customHeight="false" outlineLevel="0" collapsed="false">
      <c r="B7" s="7" t="s">
        <v>84</v>
      </c>
      <c r="C7" s="7" t="s">
        <v>85</v>
      </c>
      <c r="D7" s="10" t="n">
        <v>13628</v>
      </c>
      <c r="E7" s="10" t="n">
        <v>5750</v>
      </c>
      <c r="F7" s="13"/>
    </row>
    <row r="8" customFormat="false" ht="15" hidden="false" customHeight="false" outlineLevel="0" collapsed="false">
      <c r="B8" s="7" t="s">
        <v>86</v>
      </c>
      <c r="C8" s="7" t="s">
        <v>85</v>
      </c>
      <c r="D8" s="10" t="n">
        <v>5251</v>
      </c>
      <c r="E8" s="10" t="n">
        <v>0</v>
      </c>
      <c r="F8" s="13"/>
    </row>
    <row r="9" customFormat="false" ht="15" hidden="false" customHeight="false" outlineLevel="0" collapsed="false">
      <c r="B9" s="7" t="s">
        <v>87</v>
      </c>
      <c r="C9" s="7" t="s">
        <v>85</v>
      </c>
      <c r="D9" s="10" t="n">
        <v>5803</v>
      </c>
      <c r="E9" s="10" t="n">
        <v>3941</v>
      </c>
      <c r="F9" s="13"/>
    </row>
    <row r="10" customFormat="false" ht="15" hidden="false" customHeight="false" outlineLevel="0" collapsed="false">
      <c r="B10" s="7" t="s">
        <v>88</v>
      </c>
      <c r="C10" s="7" t="s">
        <v>85</v>
      </c>
      <c r="D10" s="10" t="n">
        <v>1495</v>
      </c>
      <c r="E10" s="10" t="n">
        <v>0</v>
      </c>
      <c r="F10" s="13"/>
    </row>
    <row r="11" customFormat="false" ht="15" hidden="false" customHeight="false" outlineLevel="0" collapsed="false">
      <c r="B11" s="7" t="s">
        <v>89</v>
      </c>
      <c r="C11" s="7" t="s">
        <v>85</v>
      </c>
      <c r="D11" s="10" t="n">
        <v>10300</v>
      </c>
      <c r="E11" s="10" t="n">
        <v>0</v>
      </c>
      <c r="F11" s="13"/>
    </row>
    <row r="12" customFormat="false" ht="15" hidden="false" customHeight="false" outlineLevel="0" collapsed="false">
      <c r="B12" s="7" t="s">
        <v>90</v>
      </c>
      <c r="C12" s="7" t="s">
        <v>85</v>
      </c>
      <c r="D12" s="10" t="n">
        <v>2815</v>
      </c>
      <c r="E12" s="10" t="n">
        <v>144</v>
      </c>
      <c r="F12" s="13"/>
    </row>
    <row r="13" customFormat="false" ht="15" hidden="false" customHeight="false" outlineLevel="0" collapsed="false">
      <c r="B13" s="7" t="s">
        <v>91</v>
      </c>
      <c r="C13" s="7" t="s">
        <v>85</v>
      </c>
      <c r="D13" s="10" t="n">
        <v>5266</v>
      </c>
      <c r="E13" s="10" t="n">
        <v>4482</v>
      </c>
      <c r="F13" s="13"/>
    </row>
    <row r="14" customFormat="false" ht="15" hidden="false" customHeight="false" outlineLevel="0" collapsed="false">
      <c r="B14" s="7" t="s">
        <v>92</v>
      </c>
      <c r="C14" s="7" t="s">
        <v>85</v>
      </c>
      <c r="D14" s="10" t="n">
        <v>2600</v>
      </c>
      <c r="E14" s="10" t="n">
        <v>2050</v>
      </c>
      <c r="F14" s="13"/>
    </row>
    <row r="15" customFormat="false" ht="15" hidden="false" customHeight="false" outlineLevel="0" collapsed="false">
      <c r="B15" s="7" t="s">
        <v>93</v>
      </c>
      <c r="C15" s="7" t="s">
        <v>85</v>
      </c>
      <c r="D15" s="10" t="n">
        <v>9169</v>
      </c>
      <c r="E15" s="10" t="n">
        <v>3812</v>
      </c>
      <c r="F15" s="13"/>
    </row>
    <row r="16" customFormat="false" ht="15" hidden="false" customHeight="false" outlineLevel="0" collapsed="false">
      <c r="B16" s="7" t="s">
        <v>94</v>
      </c>
      <c r="C16" s="7" t="s">
        <v>85</v>
      </c>
      <c r="D16" s="10" t="n">
        <v>11192</v>
      </c>
      <c r="E16" s="10" t="n">
        <v>6712</v>
      </c>
      <c r="F16" s="13"/>
    </row>
    <row r="17" customFormat="false" ht="15" hidden="false" customHeight="false" outlineLevel="0" collapsed="false">
      <c r="B17" s="7" t="s">
        <v>95</v>
      </c>
      <c r="C17" s="7" t="s">
        <v>85</v>
      </c>
      <c r="D17" s="10" t="n">
        <v>8699</v>
      </c>
      <c r="E17" s="10" t="n">
        <v>0</v>
      </c>
      <c r="F17" s="13"/>
    </row>
    <row r="18" customFormat="false" ht="15" hidden="false" customHeight="false" outlineLevel="0" collapsed="false">
      <c r="B18" s="7" t="s">
        <v>96</v>
      </c>
      <c r="C18" s="7" t="s">
        <v>85</v>
      </c>
      <c r="D18" s="10" t="n">
        <v>0</v>
      </c>
      <c r="E18" s="10" t="n">
        <v>833</v>
      </c>
      <c r="F18" s="13"/>
    </row>
    <row r="19" customFormat="false" ht="15" hidden="false" customHeight="false" outlineLevel="0" collapsed="false">
      <c r="B19" s="7" t="s">
        <v>97</v>
      </c>
      <c r="C19" s="7" t="s">
        <v>85</v>
      </c>
      <c r="D19" s="10" t="n">
        <v>69</v>
      </c>
      <c r="E19" s="10" t="n">
        <v>312</v>
      </c>
      <c r="F19" s="13"/>
    </row>
    <row r="20" customFormat="false" ht="15" hidden="false" customHeight="false" outlineLevel="0" collapsed="false">
      <c r="B20" s="7" t="s">
        <v>98</v>
      </c>
      <c r="C20" s="7" t="s">
        <v>85</v>
      </c>
      <c r="D20" s="10" t="n">
        <v>0</v>
      </c>
      <c r="E20" s="10" t="n">
        <v>2500</v>
      </c>
      <c r="F20" s="13"/>
    </row>
    <row r="21" customFormat="false" ht="15" hidden="false" customHeight="false" outlineLevel="0" collapsed="false">
      <c r="B21" s="7" t="s">
        <v>99</v>
      </c>
      <c r="C21" s="7" t="s">
        <v>100</v>
      </c>
      <c r="D21" s="10" t="n">
        <v>11841</v>
      </c>
      <c r="E21" s="10" t="n">
        <v>11789</v>
      </c>
      <c r="F21" s="13"/>
    </row>
    <row r="22" customFormat="false" ht="15" hidden="false" customHeight="false" outlineLevel="0" collapsed="false">
      <c r="B22" s="7" t="s">
        <v>101</v>
      </c>
      <c r="C22" s="7" t="s">
        <v>102</v>
      </c>
      <c r="D22" s="10" t="n">
        <v>0</v>
      </c>
      <c r="E22" s="10" t="n">
        <v>1</v>
      </c>
      <c r="F22" s="13"/>
    </row>
    <row r="23" customFormat="false" ht="15" hidden="false" customHeight="false" outlineLevel="0" collapsed="false">
      <c r="B23" s="7" t="s">
        <v>103</v>
      </c>
      <c r="C23" s="7" t="s">
        <v>104</v>
      </c>
      <c r="D23" s="10" t="n">
        <v>6178</v>
      </c>
      <c r="E23" s="10" t="n">
        <v>430</v>
      </c>
      <c r="F23" s="13"/>
    </row>
    <row r="24" customFormat="false" ht="15" hidden="false" customHeight="false" outlineLevel="0" collapsed="false">
      <c r="B24" s="7" t="s">
        <v>105</v>
      </c>
      <c r="C24" s="7" t="s">
        <v>106</v>
      </c>
      <c r="D24" s="10" t="n">
        <v>1000</v>
      </c>
      <c r="E24" s="10" t="n">
        <v>1000</v>
      </c>
      <c r="F24" s="13" t="s">
        <v>107</v>
      </c>
    </row>
    <row r="25" customFormat="false" ht="15" hidden="false" customHeight="false" outlineLevel="0" collapsed="false">
      <c r="B25" s="12"/>
      <c r="C25" s="12"/>
      <c r="D25" s="14"/>
      <c r="E25" s="14"/>
      <c r="F25" s="12"/>
    </row>
    <row r="26" customFormat="false" ht="15" hidden="false" customHeight="false" outlineLevel="0" collapsed="false">
      <c r="B26" s="12"/>
      <c r="C26" s="12"/>
      <c r="D26" s="14"/>
      <c r="E26" s="14"/>
      <c r="F26" s="12"/>
    </row>
    <row r="27" customFormat="false" ht="15" hidden="false" customHeight="false" outlineLevel="0" collapsed="false">
      <c r="B27" s="12"/>
      <c r="C27" s="12"/>
      <c r="D27" s="14"/>
      <c r="E27" s="14"/>
      <c r="F27" s="12"/>
    </row>
    <row r="28" customFormat="false" ht="15" hidden="false" customHeight="false" outlineLevel="0" collapsed="false">
      <c r="B28" s="12"/>
      <c r="C28" s="12"/>
      <c r="D28" s="14"/>
      <c r="E28" s="14"/>
      <c r="F28" s="12"/>
    </row>
    <row r="29" customFormat="false" ht="15" hidden="false" customHeight="false" outlineLevel="0" collapsed="false">
      <c r="B29" s="12"/>
      <c r="C29" s="12"/>
      <c r="D29" s="14"/>
      <c r="E29" s="14"/>
      <c r="F29" s="12"/>
    </row>
    <row r="30" customFormat="false" ht="15" hidden="false" customHeight="false" outlineLevel="0" collapsed="false">
      <c r="B30" s="12"/>
      <c r="C30" s="12"/>
      <c r="D30" s="14"/>
      <c r="E30" s="14"/>
      <c r="F30" s="12"/>
    </row>
    <row r="31" customFormat="false" ht="15" hidden="false" customHeight="false" outlineLevel="0" collapsed="false">
      <c r="B31" s="12"/>
      <c r="C31" s="12"/>
      <c r="D31" s="14"/>
      <c r="E31" s="14"/>
      <c r="F31" s="12"/>
    </row>
    <row r="32" customFormat="false" ht="15" hidden="false" customHeight="false" outlineLevel="0" collapsed="false">
      <c r="B32" s="12"/>
      <c r="C32" s="12"/>
      <c r="D32" s="14"/>
      <c r="E32" s="14"/>
      <c r="F32" s="12"/>
    </row>
    <row r="34" customFormat="false" ht="15" hidden="false" customHeight="false" outlineLevel="0" collapsed="false">
      <c r="B34" s="5" t="s">
        <v>108</v>
      </c>
    </row>
    <row r="35" customFormat="false" ht="15" hidden="false" customHeight="false" outlineLevel="0" collapsed="false">
      <c r="B35" s="11" t="s">
        <v>77</v>
      </c>
      <c r="C35" s="11" t="s">
        <v>109</v>
      </c>
      <c r="D35" s="11" t="s">
        <v>110</v>
      </c>
    </row>
    <row r="36" customFormat="false" ht="15" hidden="false" customHeight="false" outlineLevel="0" collapsed="false">
      <c r="B36" s="15" t="s">
        <v>81</v>
      </c>
      <c r="C36" s="16" t="n">
        <f aca="false">SUMIF($C$5:$C$32,$B36,$D$5:$D$32)</f>
        <v>96423</v>
      </c>
      <c r="D36" s="16" t="n">
        <f aca="false">SUMIF($C$5:$C$32,$B36,$E$5:$E$32)</f>
        <v>41899</v>
      </c>
    </row>
    <row r="37" customFormat="false" ht="15" hidden="false" customHeight="false" outlineLevel="0" collapsed="false">
      <c r="B37" s="15" t="s">
        <v>83</v>
      </c>
      <c r="C37" s="16" t="n">
        <f aca="false">SUMIF($C$5:$C$32,$B37,$D$5:$D$32)</f>
        <v>8122</v>
      </c>
      <c r="D37" s="16" t="n">
        <f aca="false">SUMIF($C$5:$C$32,$B37,$E$5:$E$32)</f>
        <v>12892</v>
      </c>
    </row>
    <row r="38" customFormat="false" ht="15" hidden="false" customHeight="false" outlineLevel="0" collapsed="false">
      <c r="B38" s="15" t="s">
        <v>85</v>
      </c>
      <c r="C38" s="16" t="n">
        <f aca="false">SUMIF($C$5:$C$32,$B38,$D$5:$D$32)</f>
        <v>76287</v>
      </c>
      <c r="D38" s="16" t="n">
        <f aca="false">SUMIF($C$5:$C$32,$B38,$E$5:$E$32)</f>
        <v>30536</v>
      </c>
    </row>
    <row r="39" customFormat="false" ht="15" hidden="false" customHeight="false" outlineLevel="0" collapsed="false">
      <c r="B39" s="15" t="s">
        <v>100</v>
      </c>
      <c r="C39" s="16" t="n">
        <f aca="false">SUMIF($C$5:$C$32,$B39,$D$5:$D$32)</f>
        <v>11841</v>
      </c>
      <c r="D39" s="16" t="n">
        <f aca="false">SUMIF($C$5:$C$32,$B39,$E$5:$E$32)</f>
        <v>11789</v>
      </c>
    </row>
    <row r="40" customFormat="false" ht="15" hidden="false" customHeight="false" outlineLevel="0" collapsed="false">
      <c r="B40" s="15" t="s">
        <v>102</v>
      </c>
      <c r="C40" s="16" t="n">
        <f aca="false">SUMIF($C$5:$C$32,$B40,$D$5:$D$32)</f>
        <v>0</v>
      </c>
      <c r="D40" s="16" t="n">
        <f aca="false">SUMIF($C$5:$C$32,$B40,$E$5:$E$32)</f>
        <v>1</v>
      </c>
    </row>
    <row r="41" customFormat="false" ht="15" hidden="false" customHeight="false" outlineLevel="0" collapsed="false">
      <c r="B41" s="15" t="s">
        <v>111</v>
      </c>
      <c r="C41" s="16" t="n">
        <f aca="false">SUMIF($C$5:$C$32,$B41,$D$5:$D$32)</f>
        <v>0</v>
      </c>
      <c r="D41" s="16" t="n">
        <f aca="false">SUMIF($C$5:$C$32,$B41,$E$5:$E$32)</f>
        <v>0</v>
      </c>
    </row>
    <row r="42" customFormat="false" ht="15" hidden="false" customHeight="false" outlineLevel="0" collapsed="false">
      <c r="B42" s="15" t="s">
        <v>112</v>
      </c>
      <c r="C42" s="16" t="n">
        <f aca="false">SUMIF($C$5:$C$32,$B42,$D$5:$D$32)</f>
        <v>0</v>
      </c>
      <c r="D42" s="16" t="n">
        <f aca="false">SUMIF($C$5:$C$32,$B42,$E$5:$E$32)</f>
        <v>0</v>
      </c>
    </row>
    <row r="43" customFormat="false" ht="15" hidden="false" customHeight="false" outlineLevel="0" collapsed="false">
      <c r="B43" s="15" t="s">
        <v>113</v>
      </c>
      <c r="C43" s="16" t="n">
        <f aca="false">SUMIF($C$5:$C$32,$B43,$D$5:$D$32)</f>
        <v>0</v>
      </c>
      <c r="D43" s="16" t="n">
        <f aca="false">SUMIF($C$5:$C$32,$B43,$E$5:$E$32)</f>
        <v>0</v>
      </c>
    </row>
    <row r="44" customFormat="false" ht="15" hidden="false" customHeight="false" outlineLevel="0" collapsed="false">
      <c r="B44" s="15" t="s">
        <v>104</v>
      </c>
      <c r="C44" s="16" t="n">
        <f aca="false">SUMIF($C$5:$C$32,$B44,$D$5:$D$32)</f>
        <v>6178</v>
      </c>
      <c r="D44" s="16" t="n">
        <f aca="false">SUMIF($C$5:$C$32,$B44,$E$5:$E$32)</f>
        <v>430</v>
      </c>
    </row>
    <row r="45" customFormat="false" ht="15" hidden="false" customHeight="false" outlineLevel="0" collapsed="false">
      <c r="B45" s="15" t="s">
        <v>106</v>
      </c>
      <c r="C45" s="16" t="n">
        <f aca="false">SUMIF($C$5:$C$32,$B45,$D$5:$D$32)</f>
        <v>1000</v>
      </c>
      <c r="D45" s="16" t="n">
        <f aca="false">SUMIF($C$5:$C$32,$B45,$E$5:$E$32)</f>
        <v>1000</v>
      </c>
    </row>
    <row r="46" customFormat="false" ht="15" hidden="false" customHeight="false" outlineLevel="0" collapsed="false">
      <c r="B46" s="15" t="s">
        <v>114</v>
      </c>
      <c r="C46" s="16" t="n">
        <f aca="false">SUMIF($C$5:$C$32,$B46,$D$5:$D$32)</f>
        <v>0</v>
      </c>
      <c r="D46" s="16" t="n">
        <f aca="false">SUMIF($C$5:$C$32,$B46,$E$5:$E$32)</f>
        <v>0</v>
      </c>
    </row>
    <row r="47" customFormat="false" ht="15" hidden="false" customHeight="false" outlineLevel="0" collapsed="false">
      <c r="B47" s="15" t="s">
        <v>115</v>
      </c>
      <c r="C47" s="16" t="n">
        <f aca="false">SUMIF($C$5:$C$32,$B47,$D$5:$D$32)</f>
        <v>0</v>
      </c>
      <c r="D47" s="16" t="n">
        <f aca="false">SUMIF($C$5:$C$32,$B47,$E$5:$E$32)</f>
        <v>0</v>
      </c>
    </row>
    <row r="48" customFormat="false" ht="15" hidden="false" customHeight="false" outlineLevel="0" collapsed="false">
      <c r="B48" s="15" t="s">
        <v>116</v>
      </c>
      <c r="C48" s="16" t="n">
        <f aca="false">SUMIF($C$5:$C$32,$B48,$D$5:$D$32)</f>
        <v>0</v>
      </c>
      <c r="D48" s="16" t="n">
        <f aca="false">SUMIF($C$5:$C$32,$B48,$E$5:$E$32)</f>
        <v>0</v>
      </c>
    </row>
    <row r="49" customFormat="false" ht="15" hidden="false" customHeight="false" outlineLevel="0" collapsed="false">
      <c r="B49" s="15" t="s">
        <v>117</v>
      </c>
      <c r="C49" s="16" t="n">
        <f aca="false">SUMIF($C$5:$C$32,$B49,$D$5:$D$32)</f>
        <v>0</v>
      </c>
      <c r="D49" s="16" t="n">
        <f aca="false">SUMIF($C$5:$C$32,$B49,$E$5:$E$32)</f>
        <v>0</v>
      </c>
    </row>
    <row r="50" customFormat="false" ht="15" hidden="false" customHeight="false" outlineLevel="0" collapsed="false">
      <c r="B50" s="15" t="s">
        <v>118</v>
      </c>
      <c r="C50" s="16" t="n">
        <f aca="false">SUMIF($C$5:$C$32,$B50,$D$5:$D$32)</f>
        <v>0</v>
      </c>
      <c r="D50" s="16" t="n">
        <f aca="false">SUMIF($C$5:$C$32,$B50,$E$5:$E$32)</f>
        <v>0</v>
      </c>
    </row>
  </sheetData>
  <dataValidations count="1">
    <dataValidation allowBlank="true" errorStyle="stop" operator="between" showDropDown="false" showErrorMessage="false" showInputMessage="false" sqref="C5:C32" type="list">
      <formula1>"Revenue,Cost of Sales,Operating Expense,Investment Revenue,Finance Costs,Other Income,Trade and Other Receivables,Inventory,Cash and Cash Equivalents,Share Capital,Trade and Other Payables,Current Tax Payable,Other Current Asset,Other Current Liability,Ot"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8" min="5" style="0" width="13"/>
    <col collapsed="false" customWidth="true" hidden="false" outlineLevel="0" max="9" min="9" style="0" width="15"/>
    <col collapsed="false" customWidth="true" hidden="false" outlineLevel="0" max="10" min="10" style="0" width="14"/>
    <col collapsed="false" customWidth="true" hidden="false" outlineLevel="0" max="11" min="11" style="0" width="16"/>
    <col collapsed="false" customWidth="true" hidden="false" outlineLevel="0" max="12" min="12" style="0" width="15"/>
    <col collapsed="false" customWidth="true" hidden="false" outlineLevel="0" max="13" min="13" style="0" width="14"/>
  </cols>
  <sheetData>
    <row r="1" customFormat="false" ht="21.75" hidden="false" customHeight="true" outlineLevel="0" collapsed="false">
      <c r="A1" s="1" t="s">
        <v>119</v>
      </c>
    </row>
    <row r="2" customFormat="false" ht="15" hidden="false" customHeight="false" outlineLevel="0" collapsed="false">
      <c r="A2" s="2" t="s">
        <v>120</v>
      </c>
    </row>
    <row r="4" customFormat="false" ht="39.75" hidden="false" customHeight="true" outlineLevel="0" collapsed="false">
      <c r="B4" s="11" t="s">
        <v>121</v>
      </c>
      <c r="C4" s="11" t="s">
        <v>122</v>
      </c>
      <c r="D4" s="11" t="s">
        <v>123</v>
      </c>
      <c r="E4" s="11" t="s">
        <v>124</v>
      </c>
      <c r="F4" s="11" t="s">
        <v>125</v>
      </c>
      <c r="G4" s="11" t="s">
        <v>126</v>
      </c>
      <c r="H4" s="11" t="s">
        <v>127</v>
      </c>
      <c r="I4" s="11" t="s">
        <v>128</v>
      </c>
      <c r="J4" s="11" t="s">
        <v>129</v>
      </c>
      <c r="K4" s="11" t="s">
        <v>130</v>
      </c>
      <c r="L4" s="11" t="s">
        <v>131</v>
      </c>
      <c r="M4" s="11" t="s">
        <v>132</v>
      </c>
    </row>
    <row r="5" customFormat="false" ht="15" hidden="false" customHeight="false" outlineLevel="0" collapsed="false">
      <c r="B5" s="7" t="s">
        <v>133</v>
      </c>
      <c r="C5" s="7" t="s">
        <v>134</v>
      </c>
      <c r="D5" s="7" t="n">
        <v>6</v>
      </c>
      <c r="E5" s="17" t="n">
        <v>7200</v>
      </c>
      <c r="F5" s="17" t="n">
        <v>0</v>
      </c>
      <c r="G5" s="17" t="n">
        <v>0</v>
      </c>
      <c r="H5" s="18" t="n">
        <f aca="false">E5+F5-G5</f>
        <v>7200</v>
      </c>
      <c r="I5" s="17" t="n">
        <v>7199</v>
      </c>
      <c r="J5" s="17" t="n">
        <v>0</v>
      </c>
      <c r="K5" s="17" t="n">
        <v>0</v>
      </c>
      <c r="L5" s="18" t="n">
        <f aca="false">I5+J5-K5</f>
        <v>7199</v>
      </c>
      <c r="M5" s="18" t="n">
        <f aca="false">H5-L5</f>
        <v>1</v>
      </c>
    </row>
    <row r="6" customFormat="false" ht="15" hidden="false" customHeight="false" outlineLevel="0" collapsed="false">
      <c r="B6" s="7" t="s">
        <v>135</v>
      </c>
      <c r="C6" s="7" t="s">
        <v>134</v>
      </c>
      <c r="D6" s="7" t="n">
        <v>3</v>
      </c>
      <c r="E6" s="17" t="n">
        <v>6300</v>
      </c>
      <c r="F6" s="17" t="n">
        <v>0</v>
      </c>
      <c r="G6" s="17" t="n">
        <v>0</v>
      </c>
      <c r="H6" s="18" t="n">
        <f aca="false">E6+F6-G6</f>
        <v>6300</v>
      </c>
      <c r="I6" s="17" t="n">
        <v>5891</v>
      </c>
      <c r="J6" s="17" t="n">
        <v>408</v>
      </c>
      <c r="K6" s="17" t="n">
        <v>0</v>
      </c>
      <c r="L6" s="18" t="n">
        <f aca="false">I6+J6-K6</f>
        <v>6299</v>
      </c>
      <c r="M6" s="18" t="n">
        <f aca="false">H6-L6</f>
        <v>1</v>
      </c>
    </row>
    <row r="7" customFormat="false" ht="15" hidden="false" customHeight="false" outlineLevel="0" collapsed="false">
      <c r="B7" s="12"/>
      <c r="C7" s="12"/>
      <c r="D7" s="12"/>
      <c r="E7" s="14"/>
      <c r="F7" s="14"/>
      <c r="G7" s="14"/>
      <c r="H7" s="19" t="n">
        <f aca="false">E7+F7-G7</f>
        <v>0</v>
      </c>
      <c r="I7" s="14"/>
      <c r="J7" s="14"/>
      <c r="K7" s="14"/>
      <c r="L7" s="19" t="n">
        <f aca="false">I7+J7-K7</f>
        <v>0</v>
      </c>
      <c r="M7" s="19" t="n">
        <f aca="false">H7-L7</f>
        <v>0</v>
      </c>
    </row>
    <row r="8" customFormat="false" ht="15" hidden="false" customHeight="false" outlineLevel="0" collapsed="false">
      <c r="B8" s="12"/>
      <c r="C8" s="12"/>
      <c r="D8" s="12"/>
      <c r="E8" s="14"/>
      <c r="F8" s="14"/>
      <c r="G8" s="14"/>
      <c r="H8" s="19" t="n">
        <f aca="false">E8+F8-G8</f>
        <v>0</v>
      </c>
      <c r="I8" s="14"/>
      <c r="J8" s="14"/>
      <c r="K8" s="14"/>
      <c r="L8" s="19" t="n">
        <f aca="false">I8+J8-K8</f>
        <v>0</v>
      </c>
      <c r="M8" s="19" t="n">
        <f aca="false">H8-L8</f>
        <v>0</v>
      </c>
    </row>
    <row r="9" customFormat="false" ht="15" hidden="false" customHeight="false" outlineLevel="0" collapsed="false">
      <c r="B9" s="12"/>
      <c r="C9" s="12"/>
      <c r="D9" s="12"/>
      <c r="E9" s="14"/>
      <c r="F9" s="14"/>
      <c r="G9" s="14"/>
      <c r="H9" s="19" t="n">
        <f aca="false">E9+F9-G9</f>
        <v>0</v>
      </c>
      <c r="I9" s="14"/>
      <c r="J9" s="14"/>
      <c r="K9" s="14"/>
      <c r="L9" s="19" t="n">
        <f aca="false">I9+J9-K9</f>
        <v>0</v>
      </c>
      <c r="M9" s="19" t="n">
        <f aca="false">H9-L9</f>
        <v>0</v>
      </c>
    </row>
    <row r="10" customFormat="false" ht="15" hidden="false" customHeight="false" outlineLevel="0" collapsed="false">
      <c r="B10" s="12"/>
      <c r="C10" s="12"/>
      <c r="D10" s="12"/>
      <c r="E10" s="14"/>
      <c r="F10" s="14"/>
      <c r="G10" s="14"/>
      <c r="H10" s="19" t="n">
        <f aca="false">E10+F10-G10</f>
        <v>0</v>
      </c>
      <c r="I10" s="14"/>
      <c r="J10" s="14"/>
      <c r="K10" s="14"/>
      <c r="L10" s="19" t="n">
        <f aca="false">I10+J10-K10</f>
        <v>0</v>
      </c>
      <c r="M10" s="19" t="n">
        <f aca="false">H10-L10</f>
        <v>0</v>
      </c>
    </row>
    <row r="11" customFormat="false" ht="15" hidden="false" customHeight="false" outlineLevel="0" collapsed="false">
      <c r="B11" s="20" t="s">
        <v>136</v>
      </c>
      <c r="E11" s="21" t="n">
        <f aca="false">SUM(E5:E10)</f>
        <v>13500</v>
      </c>
      <c r="F11" s="21" t="n">
        <f aca="false">SUM(F5:F10)</f>
        <v>0</v>
      </c>
      <c r="G11" s="21" t="n">
        <f aca="false">SUM(G5:G10)</f>
        <v>0</v>
      </c>
      <c r="H11" s="21" t="n">
        <f aca="false">SUM(H5:H10)</f>
        <v>13500</v>
      </c>
      <c r="I11" s="21" t="n">
        <f aca="false">SUM(I5:I10)</f>
        <v>13090</v>
      </c>
      <c r="J11" s="21" t="n">
        <f aca="false">SUM(J5:J10)</f>
        <v>408</v>
      </c>
      <c r="K11" s="21" t="n">
        <f aca="false">SUM(K5:K10)</f>
        <v>0</v>
      </c>
      <c r="L11" s="21" t="n">
        <f aca="false">SUM(L5:L10)</f>
        <v>13498</v>
      </c>
      <c r="M11" s="21" t="n">
        <f aca="false">SUM(M5:M10)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3" min="3" style="0" width="12"/>
    <col collapsed="false" customWidth="true" hidden="false" outlineLevel="0" max="8" min="4" style="0" width="14"/>
    <col collapsed="false" customWidth="true" hidden="false" outlineLevel="0" max="9" min="9" style="0" width="15"/>
    <col collapsed="false" customWidth="true" hidden="false" outlineLevel="0" max="10" min="10" style="0" width="14"/>
    <col collapsed="false" customWidth="true" hidden="false" outlineLevel="0" max="11" min="11" style="0" width="30"/>
  </cols>
  <sheetData>
    <row r="1" customFormat="false" ht="21.75" hidden="false" customHeight="true" outlineLevel="0" collapsed="false">
      <c r="A1" s="1" t="s">
        <v>137</v>
      </c>
    </row>
    <row r="2" customFormat="false" ht="15" hidden="false" customHeight="false" outlineLevel="0" collapsed="false">
      <c r="A2" s="2" t="s">
        <v>138</v>
      </c>
    </row>
    <row r="4" customFormat="false" ht="30" hidden="false" customHeight="true" outlineLevel="0" collapsed="false">
      <c r="B4" s="11" t="s">
        <v>139</v>
      </c>
      <c r="C4" s="11" t="s">
        <v>140</v>
      </c>
      <c r="D4" s="11" t="s">
        <v>141</v>
      </c>
      <c r="E4" s="11" t="s">
        <v>142</v>
      </c>
      <c r="F4" s="11" t="s">
        <v>143</v>
      </c>
      <c r="G4" s="11" t="s">
        <v>144</v>
      </c>
      <c r="H4" s="11" t="s">
        <v>145</v>
      </c>
      <c r="I4" s="11" t="s">
        <v>146</v>
      </c>
      <c r="J4" s="11" t="s">
        <v>147</v>
      </c>
      <c r="K4" s="11" t="s">
        <v>148</v>
      </c>
    </row>
    <row r="5" customFormat="false" ht="15" hidden="false" customHeight="false" outlineLevel="0" collapsed="false">
      <c r="B5" s="7" t="s">
        <v>71</v>
      </c>
      <c r="C5" s="7" t="s">
        <v>149</v>
      </c>
      <c r="D5" s="10" t="n">
        <v>146518</v>
      </c>
      <c r="E5" s="10" t="n">
        <v>18107</v>
      </c>
      <c r="F5" s="10" t="n">
        <v>0</v>
      </c>
      <c r="G5" s="22" t="n">
        <v>0.0775</v>
      </c>
      <c r="H5" s="10" t="n">
        <v>11841</v>
      </c>
      <c r="I5" s="19" t="n">
        <f aca="false">D5+E5-F5</f>
        <v>164625</v>
      </c>
      <c r="J5" s="7" t="s">
        <v>150</v>
      </c>
      <c r="K5" s="13" t="s">
        <v>151</v>
      </c>
    </row>
    <row r="6" customFormat="false" ht="15" hidden="false" customHeight="false" outlineLevel="0" collapsed="false">
      <c r="B6" s="12"/>
      <c r="C6" s="12"/>
      <c r="D6" s="14"/>
      <c r="E6" s="14"/>
      <c r="F6" s="14"/>
      <c r="G6" s="23"/>
      <c r="H6" s="14"/>
      <c r="I6" s="19" t="n">
        <f aca="false">D6+E6-F6</f>
        <v>0</v>
      </c>
      <c r="J6" s="12"/>
      <c r="K6" s="12"/>
    </row>
    <row r="7" customFormat="false" ht="15" hidden="false" customHeight="false" outlineLevel="0" collapsed="false">
      <c r="B7" s="12"/>
      <c r="C7" s="12"/>
      <c r="D7" s="14"/>
      <c r="E7" s="14"/>
      <c r="F7" s="14"/>
      <c r="G7" s="23"/>
      <c r="H7" s="14"/>
      <c r="I7" s="19" t="n">
        <f aca="false">D7+E7-F7</f>
        <v>0</v>
      </c>
      <c r="J7" s="12"/>
      <c r="K7" s="12"/>
    </row>
    <row r="8" customFormat="false" ht="15" hidden="false" customHeight="false" outlineLevel="0" collapsed="false">
      <c r="B8" s="12"/>
      <c r="C8" s="12"/>
      <c r="D8" s="14"/>
      <c r="E8" s="14"/>
      <c r="F8" s="14"/>
      <c r="G8" s="23"/>
      <c r="H8" s="14"/>
      <c r="I8" s="19" t="n">
        <f aca="false">D8+E8-F8</f>
        <v>0</v>
      </c>
      <c r="J8" s="12"/>
      <c r="K8" s="12"/>
    </row>
    <row r="9" customFormat="false" ht="15" hidden="false" customHeight="false" outlineLevel="0" collapsed="false">
      <c r="B9" s="12"/>
      <c r="C9" s="12"/>
      <c r="D9" s="14"/>
      <c r="E9" s="14"/>
      <c r="F9" s="14"/>
      <c r="G9" s="23"/>
      <c r="H9" s="14"/>
      <c r="I9" s="19" t="n">
        <f aca="false">D9+E9-F9</f>
        <v>0</v>
      </c>
      <c r="J9" s="12"/>
      <c r="K9" s="12"/>
    </row>
    <row r="10" customFormat="false" ht="15" hidden="false" customHeight="false" outlineLevel="0" collapsed="false">
      <c r="B10" s="20" t="s">
        <v>136</v>
      </c>
      <c r="D10" s="21" t="n">
        <f aca="false">SUM(D5:D9)</f>
        <v>146518</v>
      </c>
      <c r="E10" s="21" t="n">
        <f aca="false">SUM(E5:E9)</f>
        <v>18107</v>
      </c>
      <c r="F10" s="21" t="n">
        <f aca="false">SUM(F5:F9)</f>
        <v>0</v>
      </c>
      <c r="H10" s="21" t="n">
        <f aca="false">SUM(H5:H9)</f>
        <v>11841</v>
      </c>
      <c r="I10" s="21" t="n">
        <f aca="false">SUM(I5:I9)</f>
        <v>164625</v>
      </c>
    </row>
  </sheetData>
  <dataValidations count="2">
    <dataValidation allowBlank="true" errorStyle="stop" operator="between" showDropDown="false" showErrorMessage="false" showInputMessage="false" sqref="C5:C9" type="list">
      <formula1>"To,From"</formula1>
      <formula2>0</formula2>
    </dataValidation>
    <dataValidation allowBlank="true" errorStyle="stop" operator="between" showDropDown="false" showErrorMessage="false" showInputMessage="false" sqref="J5:J9" type="list">
      <formula1>"Secured,Unsecured"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5" min="3" style="0" width="18"/>
    <col collapsed="false" customWidth="true" hidden="false" outlineLevel="0" max="6" min="6" style="0" width="16"/>
  </cols>
  <sheetData>
    <row r="1" customFormat="false" ht="21.75" hidden="false" customHeight="true" outlineLevel="0" collapsed="false">
      <c r="A1" s="1" t="s">
        <v>152</v>
      </c>
    </row>
    <row r="2" customFormat="false" ht="15" hidden="false" customHeight="false" outlineLevel="0" collapsed="false">
      <c r="A2" s="2" t="s">
        <v>153</v>
      </c>
    </row>
    <row r="4" customFormat="false" ht="15" hidden="false" customHeight="false" outlineLevel="0" collapsed="false">
      <c r="B4" s="6" t="s">
        <v>154</v>
      </c>
      <c r="C4" s="16" t="n">
        <f aca="false">'Trial Balance'!C36-'Trial Balance'!C37-'Trial Balance'!C38-'PPE Register'!J11+'Trial Balance'!C39-'Trial Balance'!C40</f>
        <v>23447</v>
      </c>
    </row>
    <row r="6" customFormat="false" ht="15" hidden="false" customHeight="false" outlineLevel="0" collapsed="false">
      <c r="B6" s="5" t="s">
        <v>155</v>
      </c>
    </row>
    <row r="7" customFormat="false" ht="15" hidden="false" customHeight="false" outlineLevel="0" collapsed="false">
      <c r="B7" s="11" t="s">
        <v>156</v>
      </c>
      <c r="C7" s="11" t="s">
        <v>157</v>
      </c>
    </row>
    <row r="8" customFormat="false" ht="15" hidden="false" customHeight="false" outlineLevel="0" collapsed="false">
      <c r="B8" s="24" t="s">
        <v>158</v>
      </c>
      <c r="C8" s="18" t="n">
        <f aca="false">-'PPE Register'!J11</f>
        <v>-408</v>
      </c>
    </row>
    <row r="9" customFormat="false" ht="15" hidden="false" customHeight="false" outlineLevel="0" collapsed="false">
      <c r="B9" s="24" t="s">
        <v>159</v>
      </c>
      <c r="C9" s="18" t="n">
        <f aca="false">'PPE Register'!J11</f>
        <v>408</v>
      </c>
    </row>
    <row r="10" customFormat="false" ht="15" hidden="false" customHeight="false" outlineLevel="0" collapsed="false">
      <c r="B10" s="12"/>
      <c r="C10" s="14"/>
    </row>
    <row r="11" customFormat="false" ht="15" hidden="false" customHeight="false" outlineLevel="0" collapsed="false">
      <c r="B11" s="12"/>
      <c r="C11" s="14"/>
    </row>
    <row r="12" customFormat="false" ht="15" hidden="false" customHeight="false" outlineLevel="0" collapsed="false">
      <c r="B12" s="20" t="s">
        <v>160</v>
      </c>
      <c r="C12" s="21" t="n">
        <f aca="false">SUM(C8:C11)</f>
        <v>0</v>
      </c>
    </row>
    <row r="14" customFormat="false" ht="15" hidden="false" customHeight="false" outlineLevel="0" collapsed="false">
      <c r="B14" s="6" t="s">
        <v>161</v>
      </c>
      <c r="C14" s="16" t="n">
        <f aca="false">C4+C12</f>
        <v>23447</v>
      </c>
    </row>
    <row r="15" customFormat="false" ht="15" hidden="false" customHeight="false" outlineLevel="0" collapsed="false">
      <c r="B15" s="6" t="s">
        <v>162</v>
      </c>
      <c r="C15" s="10" t="n">
        <v>0</v>
      </c>
    </row>
    <row r="16" customFormat="false" ht="15" hidden="false" customHeight="false" outlineLevel="0" collapsed="false">
      <c r="B16" s="6" t="s">
        <v>163</v>
      </c>
      <c r="C16" s="16" t="n">
        <f aca="false">-MIN(C15,MAX(0,C14))</f>
        <v>-0</v>
      </c>
    </row>
    <row r="17" customFormat="false" ht="15" hidden="false" customHeight="false" outlineLevel="0" collapsed="false">
      <c r="B17" s="20" t="s">
        <v>164</v>
      </c>
      <c r="C17" s="21" t="n">
        <f aca="false">MAX(0,C14+C16)</f>
        <v>23447</v>
      </c>
    </row>
    <row r="18" customFormat="false" ht="15" hidden="false" customHeight="false" outlineLevel="0" collapsed="false">
      <c r="B18" s="6" t="s">
        <v>165</v>
      </c>
      <c r="C18" s="16" t="n">
        <f aca="false">MAX(0,C15+C16)+MAX(0,-(C14+C16))</f>
        <v>0</v>
      </c>
    </row>
    <row r="20" customFormat="false" ht="15" hidden="false" customHeight="false" outlineLevel="0" collapsed="false">
      <c r="B20" s="5" t="s">
        <v>166</v>
      </c>
    </row>
    <row r="21" customFormat="false" ht="15" hidden="false" customHeight="false" outlineLevel="0" collapsed="false">
      <c r="B21" s="11" t="s">
        <v>167</v>
      </c>
      <c r="C21" s="11" t="s">
        <v>168</v>
      </c>
      <c r="D21" s="11" t="s">
        <v>169</v>
      </c>
    </row>
    <row r="22" customFormat="false" ht="15" hidden="false" customHeight="false" outlineLevel="0" collapsed="false">
      <c r="B22" s="10" t="n">
        <v>0</v>
      </c>
      <c r="C22" s="10" t="n">
        <v>95750</v>
      </c>
      <c r="D22" s="22" t="n">
        <v>0</v>
      </c>
    </row>
    <row r="23" customFormat="false" ht="15" hidden="false" customHeight="false" outlineLevel="0" collapsed="false">
      <c r="B23" s="10" t="n">
        <v>95751</v>
      </c>
      <c r="C23" s="10" t="n">
        <v>365000</v>
      </c>
      <c r="D23" s="22" t="n">
        <v>0.07</v>
      </c>
    </row>
    <row r="24" customFormat="false" ht="15" hidden="false" customHeight="false" outlineLevel="0" collapsed="false">
      <c r="B24" s="10" t="n">
        <v>365001</v>
      </c>
      <c r="C24" s="10" t="n">
        <v>550000</v>
      </c>
      <c r="D24" s="22" t="n">
        <v>0.21</v>
      </c>
    </row>
    <row r="25" customFormat="false" ht="15" hidden="false" customHeight="false" outlineLevel="0" collapsed="false">
      <c r="B25" s="10" t="n">
        <v>550001</v>
      </c>
      <c r="C25" s="7" t="s">
        <v>170</v>
      </c>
      <c r="D25" s="22" t="n">
        <v>0.27</v>
      </c>
    </row>
    <row r="27" customFormat="false" ht="15" hidden="false" customHeight="false" outlineLevel="0" collapsed="false">
      <c r="B27" s="2" t="s">
        <v>171</v>
      </c>
    </row>
    <row r="28" customFormat="false" ht="15" hidden="false" customHeight="false" outlineLevel="0" collapsed="false">
      <c r="B28" s="25" t="n">
        <v>1</v>
      </c>
      <c r="C28" s="25" t="n">
        <v>99000</v>
      </c>
      <c r="D28" s="26" t="n">
        <v>0</v>
      </c>
    </row>
    <row r="29" customFormat="false" ht="15" hidden="false" customHeight="false" outlineLevel="0" collapsed="false">
      <c r="B29" s="25" t="n">
        <v>99001</v>
      </c>
      <c r="C29" s="25" t="n">
        <v>365000</v>
      </c>
      <c r="D29" s="26" t="n">
        <v>0.07</v>
      </c>
    </row>
    <row r="30" customFormat="false" ht="15" hidden="false" customHeight="false" outlineLevel="0" collapsed="false">
      <c r="B30" s="25" t="n">
        <v>365001</v>
      </c>
      <c r="C30" s="25" t="n">
        <v>550000</v>
      </c>
      <c r="D30" s="26" t="n">
        <v>0.21</v>
      </c>
    </row>
    <row r="31" customFormat="false" ht="15" hidden="false" customHeight="false" outlineLevel="0" collapsed="false">
      <c r="B31" s="25" t="n">
        <v>550001</v>
      </c>
      <c r="C31" s="2" t="s">
        <v>170</v>
      </c>
      <c r="D31" s="26" t="n">
        <v>0.27</v>
      </c>
    </row>
    <row r="33" customFormat="false" ht="15" hidden="false" customHeight="false" outlineLevel="0" collapsed="false">
      <c r="B33" s="20" t="s">
        <v>172</v>
      </c>
    </row>
    <row r="34" customFormat="false" ht="15" hidden="false" customHeight="false" outlineLevel="0" collapsed="false">
      <c r="C34" s="27" t="n">
        <f aca="false">(MAX(0,MIN(C$17,C22)-(B22-1)))*D22+(MAX(0,MIN(C$17,C23)-(B23-1)))*D23+(MAX(0,MIN(C$17,C24)-(B24-1)))*D24+(MAX(0,C$17-(B25-1)))*D25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0"/>
    <col collapsed="false" customWidth="true" hidden="false" outlineLevel="0" max="3" min="3" style="0" width="14"/>
    <col collapsed="false" customWidth="true" hidden="false" outlineLevel="0" max="4" min="4" style="0" width="55"/>
  </cols>
  <sheetData>
    <row r="1" customFormat="false" ht="21.75" hidden="false" customHeight="true" outlineLevel="0" collapsed="false">
      <c r="A1" s="1" t="s">
        <v>173</v>
      </c>
    </row>
    <row r="2" customFormat="false" ht="15" hidden="false" customHeight="false" outlineLevel="0" collapsed="false">
      <c r="A2" s="2" t="s">
        <v>174</v>
      </c>
    </row>
    <row r="4" customFormat="false" ht="19.5" hidden="false" customHeight="true" outlineLevel="0" collapsed="false">
      <c r="B4" s="11" t="s">
        <v>175</v>
      </c>
      <c r="C4" s="11" t="s">
        <v>176</v>
      </c>
      <c r="D4" s="11" t="s">
        <v>70</v>
      </c>
    </row>
    <row r="5" customFormat="false" ht="15" hidden="false" customHeight="false" outlineLevel="0" collapsed="false">
      <c r="B5" s="7" t="s">
        <v>177</v>
      </c>
      <c r="C5" s="7" t="s">
        <v>73</v>
      </c>
      <c r="D5" s="13" t="s">
        <v>178</v>
      </c>
    </row>
    <row r="6" customFormat="false" ht="15" hidden="false" customHeight="false" outlineLevel="0" collapsed="false">
      <c r="B6" s="7" t="s">
        <v>179</v>
      </c>
      <c r="C6" s="7" t="s">
        <v>73</v>
      </c>
      <c r="D6" s="13" t="s">
        <v>180</v>
      </c>
    </row>
    <row r="7" customFormat="false" ht="15" hidden="false" customHeight="false" outlineLevel="0" collapsed="false">
      <c r="B7" s="7" t="s">
        <v>181</v>
      </c>
      <c r="C7" s="7" t="s">
        <v>73</v>
      </c>
      <c r="D7" s="13"/>
    </row>
    <row r="8" customFormat="false" ht="15" hidden="false" customHeight="false" outlineLevel="0" collapsed="false">
      <c r="B8" s="7" t="s">
        <v>182</v>
      </c>
      <c r="C8" s="7" t="s">
        <v>73</v>
      </c>
      <c r="D8" s="13"/>
    </row>
    <row r="9" customFormat="false" ht="15" hidden="false" customHeight="false" outlineLevel="0" collapsed="false">
      <c r="B9" s="7" t="s">
        <v>183</v>
      </c>
      <c r="C9" s="7" t="s">
        <v>73</v>
      </c>
      <c r="D9" s="13" t="s">
        <v>184</v>
      </c>
    </row>
    <row r="10" customFormat="false" ht="15" hidden="false" customHeight="false" outlineLevel="0" collapsed="false">
      <c r="B10" s="7" t="s">
        <v>185</v>
      </c>
      <c r="C10" s="7" t="s">
        <v>186</v>
      </c>
      <c r="D10" s="13" t="s">
        <v>187</v>
      </c>
    </row>
    <row r="11" customFormat="false" ht="15" hidden="false" customHeight="false" outlineLevel="0" collapsed="false">
      <c r="B11" s="7" t="s">
        <v>188</v>
      </c>
      <c r="C11" s="7" t="s">
        <v>186</v>
      </c>
      <c r="D11" s="13"/>
    </row>
    <row r="12" customFormat="false" ht="15" hidden="false" customHeight="false" outlineLevel="0" collapsed="false">
      <c r="B12" s="7" t="s">
        <v>189</v>
      </c>
      <c r="C12" s="7" t="s">
        <v>186</v>
      </c>
      <c r="D12" s="13"/>
    </row>
    <row r="13" customFormat="false" ht="15" hidden="false" customHeight="false" outlineLevel="0" collapsed="false">
      <c r="B13" s="7" t="s">
        <v>190</v>
      </c>
      <c r="C13" s="7" t="s">
        <v>73</v>
      </c>
      <c r="D13" s="13" t="s">
        <v>191</v>
      </c>
    </row>
    <row r="14" customFormat="false" ht="15" hidden="false" customHeight="false" outlineLevel="0" collapsed="false">
      <c r="B14" s="7" t="s">
        <v>192</v>
      </c>
      <c r="C14" s="7" t="s">
        <v>186</v>
      </c>
      <c r="D14" s="13"/>
    </row>
    <row r="15" customFormat="false" ht="15" hidden="false" customHeight="false" outlineLevel="0" collapsed="false">
      <c r="B15" s="7" t="s">
        <v>193</v>
      </c>
      <c r="C15" s="7" t="s">
        <v>186</v>
      </c>
      <c r="D15" s="13"/>
    </row>
    <row r="16" customFormat="false" ht="15" hidden="false" customHeight="false" outlineLevel="0" collapsed="false">
      <c r="B16" s="7" t="s">
        <v>194</v>
      </c>
      <c r="C16" s="7" t="s">
        <v>186</v>
      </c>
      <c r="D16" s="13"/>
    </row>
    <row r="17" customFormat="false" ht="15" hidden="false" customHeight="false" outlineLevel="0" collapsed="false">
      <c r="B17" s="7" t="s">
        <v>195</v>
      </c>
      <c r="C17" s="7" t="s">
        <v>186</v>
      </c>
      <c r="D17" s="13"/>
    </row>
    <row r="18" customFormat="false" ht="15" hidden="false" customHeight="false" outlineLevel="0" collapsed="false">
      <c r="B18" s="7" t="s">
        <v>196</v>
      </c>
      <c r="C18" s="7" t="s">
        <v>73</v>
      </c>
      <c r="D18" s="13" t="s">
        <v>197</v>
      </c>
    </row>
  </sheetData>
  <dataValidations count="1">
    <dataValidation allowBlank="true" errorStyle="stop" operator="between" showDropDown="false" showErrorMessage="false" showInputMessage="false" sqref="C5:C18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4" min="3" style="0" width="18"/>
    <col collapsed="false" customWidth="true" hidden="false" outlineLevel="0" max="5" min="5" style="0" width="14"/>
  </cols>
  <sheetData>
    <row r="1" customFormat="false" ht="21.75" hidden="false" customHeight="true" outlineLevel="0" collapsed="false">
      <c r="A1" s="1" t="s">
        <v>198</v>
      </c>
    </row>
    <row r="2" customFormat="false" ht="15" hidden="false" customHeight="false" outlineLevel="0" collapsed="false">
      <c r="A2" s="2" t="s">
        <v>199</v>
      </c>
    </row>
    <row r="4" customFormat="false" ht="23.85" hidden="false" customHeight="false" outlineLevel="0" collapsed="false">
      <c r="B4" s="11" t="s">
        <v>200</v>
      </c>
      <c r="C4" s="11" t="s">
        <v>201</v>
      </c>
      <c r="D4" s="11" t="s">
        <v>202</v>
      </c>
      <c r="E4" s="11" t="s">
        <v>203</v>
      </c>
    </row>
    <row r="5" customFormat="false" ht="15" hidden="false" customHeight="false" outlineLevel="0" collapsed="false">
      <c r="B5" s="28" t="s">
        <v>204</v>
      </c>
      <c r="C5" s="18" t="n">
        <f aca="false">'PPE Register'!M11+'Loans to-from Shareholders'!I10+'Trial Balance'!C44+'Trial Balance'!C42+'Trial Balance'!C43+'Trial Balance'!C48</f>
        <v>170805</v>
      </c>
      <c r="D5" s="18" t="n">
        <f aca="false">'Trial Balance'!C45+('Entity Setup'!C29+('Trial Balance'!D36-'Trial Balance'!D37-'Trial Balance'!D38-'Entity Setup'!C34+'Trial Balance'!D39-'Trial Balance'!D40)+'Tax Computation'!C4)+'Trial Balance'!C46+'Trial Balance'!C47+'Trial Balance'!C49+'Trial Balance'!C50</f>
        <v>170805</v>
      </c>
      <c r="E5" s="29" t="n">
        <f aca="false">C5-D5</f>
        <v>0</v>
      </c>
    </row>
    <row r="7" customFormat="false" ht="15" hidden="false" customHeight="false" outlineLevel="0" collapsed="false">
      <c r="B7" s="11" t="s">
        <v>200</v>
      </c>
      <c r="C7" s="11" t="s">
        <v>205</v>
      </c>
      <c r="D7" s="11" t="s">
        <v>206</v>
      </c>
      <c r="E7" s="11" t="s">
        <v>203</v>
      </c>
    </row>
    <row r="8" customFormat="false" ht="15" hidden="false" customHeight="false" outlineLevel="0" collapsed="false">
      <c r="B8" s="28" t="s">
        <v>207</v>
      </c>
      <c r="C8" s="18" t="n">
        <f aca="false">'Trial Balance'!D44+('Trial Balance'!C36-('Trial Balance'!C37+'Trial Balance'!C38)+'Trial Balance'!C39-'Trial Balance'!C40)+(-'PPE Register'!F11+('Loans to-from Shareholders'!F10-'Loans to-from Shareholders'!E10))</f>
        <v>6178</v>
      </c>
      <c r="D8" s="18" t="n">
        <f aca="false">'Trial Balance'!C44</f>
        <v>6178</v>
      </c>
      <c r="E8" s="29" t="n">
        <f aca="false">C8-D8</f>
        <v>0</v>
      </c>
    </row>
    <row r="9" customFormat="false" ht="15" hidden="false" customHeight="false" outlineLevel="0" collapsed="false">
      <c r="B9" s="28" t="s">
        <v>208</v>
      </c>
      <c r="C9" s="18" t="n">
        <f aca="false">'PPE Register'!M11</f>
        <v>2</v>
      </c>
      <c r="D9" s="18" t="n">
        <f aca="false">'PPE Register'!H11-'PPE Register'!L11</f>
        <v>2</v>
      </c>
      <c r="E9" s="29" t="n">
        <f aca="false">C9-D9</f>
        <v>0</v>
      </c>
    </row>
    <row r="10" customFormat="false" ht="15" hidden="false" customHeight="false" outlineLevel="0" collapsed="false">
      <c r="B10" s="28" t="s">
        <v>209</v>
      </c>
      <c r="C10" s="18" t="n">
        <f aca="false">'Loans to-from Shareholders'!I10</f>
        <v>164625</v>
      </c>
      <c r="D10" s="18" t="n">
        <f aca="false">'Loans to-from Shareholders'!D10+'Loans to-from Shareholders'!E10-'Loans to-from Shareholders'!F10</f>
        <v>164625</v>
      </c>
      <c r="E10" s="29" t="n">
        <f aca="false">C10-D10</f>
        <v>0</v>
      </c>
    </row>
    <row r="11" customFormat="false" ht="15" hidden="false" customHeight="false" outlineLevel="0" collapsed="false">
      <c r="B11" s="28" t="s">
        <v>210</v>
      </c>
      <c r="C11" s="18" t="n">
        <f aca="false">'Entity Setup'!C29+('Trial Balance'!D36-'Trial Balance'!D37-'Trial Balance'!D38-'Entity Setup'!C34+'Trial Balance'!D39-'Trial Balance'!D40)</f>
        <v>146358</v>
      </c>
      <c r="D11" s="18" t="n">
        <f aca="false">'Entity Setup'!C29+('Trial Balance'!D36-'Trial Balance'!D37-'Trial Balance'!D38-'Entity Setup'!C34+'Trial Balance'!D39-'Trial Balance'!D40)</f>
        <v>146358</v>
      </c>
      <c r="E11" s="29" t="n">
        <f aca="false">C11-D11</f>
        <v>0</v>
      </c>
    </row>
    <row r="13" customFormat="false" ht="27.75" hidden="false" customHeight="true" outlineLevel="0" collapsed="false">
      <c r="B13" s="30" t="s">
        <v>211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2026-09-22T15:43:11Z</dcterms:created>
  <dc:creator>openpyxl</dc:creator>
  <dc:description/>
  <dc:language>en-US</dc:language>
  <cp:lastModifiedBy/>
  <dcterms:modified xsi:type="dcterms:W3CDTF">2026-09-22T15:43:11Z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